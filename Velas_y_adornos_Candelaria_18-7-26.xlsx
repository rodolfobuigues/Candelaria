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aira\"/>
    </mc:Choice>
  </mc:AlternateContent>
  <bookViews>
    <workbookView xWindow="0" yWindow="0" windowWidth="11520" windowHeight="9912"/>
  </bookViews>
  <sheets>
    <sheet name="Materia prima" sheetId="4" r:id="rId1"/>
    <sheet name="Costos" sheetId="5" r:id="rId2"/>
    <sheet name="Combos" sheetId="6" r:id="rId3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5" i="6" l="1"/>
  <c r="E25" i="6" s="1"/>
  <c r="B25" i="6"/>
  <c r="C24" i="6"/>
  <c r="E24" i="6" s="1"/>
  <c r="B24" i="6"/>
  <c r="C23" i="6"/>
  <c r="E23" i="6" s="1"/>
  <c r="B23" i="6"/>
  <c r="C22" i="6"/>
  <c r="E22" i="6" s="1"/>
  <c r="B22" i="6"/>
  <c r="C21" i="6"/>
  <c r="E21" i="6" s="1"/>
  <c r="B21" i="6"/>
  <c r="B20" i="6"/>
  <c r="C19" i="6"/>
  <c r="E19" i="6" s="1"/>
  <c r="B19" i="6"/>
  <c r="B18" i="6"/>
  <c r="B17" i="6"/>
  <c r="C12" i="6"/>
  <c r="B12" i="6"/>
  <c r="C11" i="6"/>
  <c r="B11" i="6"/>
  <c r="C10" i="6"/>
  <c r="B10" i="6"/>
  <c r="C9" i="6"/>
  <c r="B9" i="6"/>
  <c r="C8" i="6"/>
  <c r="B8" i="6"/>
  <c r="C7" i="6"/>
  <c r="B7" i="6"/>
  <c r="C6" i="6"/>
  <c r="B6" i="6"/>
  <c r="C5" i="6"/>
  <c r="B5" i="6"/>
  <c r="B4" i="6"/>
  <c r="M55" i="5"/>
  <c r="Z55" i="5" s="1"/>
  <c r="L55" i="5"/>
  <c r="Z94" i="5"/>
  <c r="Z93" i="5"/>
  <c r="Z92" i="5"/>
  <c r="Z91" i="5"/>
  <c r="Z90" i="5"/>
  <c r="Z89" i="5"/>
  <c r="Z88" i="5"/>
  <c r="Z87" i="5"/>
  <c r="Z86" i="5"/>
  <c r="Z85" i="5"/>
  <c r="Z84" i="5"/>
  <c r="Z83" i="5"/>
  <c r="Z82" i="5"/>
  <c r="Z81" i="5"/>
  <c r="Z80" i="5"/>
  <c r="Z79" i="5"/>
  <c r="Z78" i="5"/>
  <c r="Z77" i="5"/>
  <c r="Z76" i="5"/>
  <c r="Z75" i="5"/>
  <c r="Z74" i="5"/>
  <c r="Z73" i="5"/>
  <c r="Z72" i="5"/>
  <c r="Z71" i="5"/>
  <c r="Z70" i="5"/>
  <c r="Z69" i="5"/>
  <c r="Z68" i="5"/>
  <c r="Z67" i="5"/>
  <c r="Z66" i="5"/>
  <c r="Z65" i="5"/>
  <c r="Z64" i="5"/>
  <c r="Z63" i="5"/>
  <c r="Z62" i="5"/>
  <c r="Z61" i="5"/>
  <c r="Z60" i="5"/>
  <c r="Z59" i="5"/>
  <c r="Z58" i="5"/>
  <c r="Z57" i="5"/>
  <c r="Z56" i="5"/>
  <c r="Z54" i="5"/>
  <c r="Z53" i="5"/>
  <c r="Z52" i="5"/>
  <c r="Z51" i="5"/>
  <c r="Z50" i="5"/>
  <c r="Z49" i="5"/>
  <c r="Z48" i="5"/>
  <c r="Z47" i="5"/>
  <c r="Z46" i="5"/>
  <c r="Z45" i="5"/>
  <c r="Z44" i="5"/>
  <c r="Z43" i="5"/>
  <c r="Z42" i="5"/>
  <c r="Z41" i="5"/>
  <c r="Z40" i="5"/>
  <c r="Z39" i="5"/>
  <c r="Z38" i="5"/>
  <c r="Z37" i="5"/>
  <c r="Z36" i="5"/>
  <c r="Z35" i="5"/>
  <c r="Z34" i="5"/>
  <c r="Z33" i="5"/>
  <c r="Z32" i="5"/>
  <c r="Z31" i="5"/>
  <c r="Z30" i="5"/>
  <c r="Z29" i="5"/>
  <c r="Z28" i="5"/>
  <c r="Z27" i="5"/>
  <c r="Z26" i="5"/>
  <c r="Z25" i="5"/>
  <c r="Z24" i="5"/>
  <c r="Z23" i="5"/>
  <c r="Z22" i="5"/>
  <c r="Z21" i="5"/>
  <c r="Z20" i="5"/>
  <c r="Z19" i="5"/>
  <c r="Z18" i="5"/>
  <c r="Z17" i="5"/>
  <c r="Z16" i="5"/>
  <c r="Z15" i="5"/>
  <c r="Z14" i="5"/>
  <c r="Z13" i="5"/>
  <c r="Z12" i="5"/>
  <c r="Z11" i="5"/>
  <c r="Z10" i="5"/>
  <c r="Z9" i="5"/>
  <c r="Z8" i="5"/>
  <c r="Z7" i="5"/>
  <c r="Z6" i="5"/>
  <c r="Z5" i="5"/>
  <c r="P1" i="5"/>
  <c r="P61" i="5" s="1"/>
  <c r="Y61" i="5" s="1"/>
  <c r="U94" i="5"/>
  <c r="U93" i="5"/>
  <c r="U92" i="5"/>
  <c r="U91" i="5"/>
  <c r="U90" i="5"/>
  <c r="U89" i="5"/>
  <c r="U88" i="5"/>
  <c r="U87" i="5"/>
  <c r="U86" i="5"/>
  <c r="U85" i="5"/>
  <c r="U84" i="5"/>
  <c r="U83" i="5"/>
  <c r="U81" i="5"/>
  <c r="U79" i="5"/>
  <c r="U78" i="5"/>
  <c r="U77" i="5"/>
  <c r="U76" i="5"/>
  <c r="U75" i="5"/>
  <c r="U74" i="5"/>
  <c r="U73" i="5"/>
  <c r="U72" i="5"/>
  <c r="U71" i="5"/>
  <c r="U70" i="5"/>
  <c r="U69" i="5"/>
  <c r="U68" i="5"/>
  <c r="U67" i="5"/>
  <c r="U66" i="5"/>
  <c r="U65" i="5"/>
  <c r="U64" i="5"/>
  <c r="U63" i="5"/>
  <c r="U62" i="5"/>
  <c r="U59" i="5"/>
  <c r="U57" i="5"/>
  <c r="U56" i="5"/>
  <c r="U55" i="5"/>
  <c r="U54" i="5"/>
  <c r="U53" i="5"/>
  <c r="U52" i="5"/>
  <c r="U51" i="5"/>
  <c r="U50" i="5"/>
  <c r="U49" i="5"/>
  <c r="U48" i="5"/>
  <c r="U47" i="5"/>
  <c r="U46" i="5"/>
  <c r="U44" i="5"/>
  <c r="U43" i="5"/>
  <c r="U42" i="5"/>
  <c r="U41" i="5"/>
  <c r="U40" i="5"/>
  <c r="U39" i="5"/>
  <c r="U38" i="5"/>
  <c r="U37" i="5"/>
  <c r="U36" i="5"/>
  <c r="U35" i="5"/>
  <c r="U34" i="5"/>
  <c r="U33" i="5"/>
  <c r="U32" i="5"/>
  <c r="U31" i="5"/>
  <c r="U30" i="5"/>
  <c r="U29" i="5"/>
  <c r="U28" i="5"/>
  <c r="U27" i="5"/>
  <c r="U26" i="5"/>
  <c r="U25" i="5"/>
  <c r="U24" i="5"/>
  <c r="U23" i="5"/>
  <c r="U22" i="5"/>
  <c r="U21" i="5"/>
  <c r="U20" i="5"/>
  <c r="U19" i="5"/>
  <c r="U18" i="5"/>
  <c r="U17" i="5"/>
  <c r="U16" i="5"/>
  <c r="U15" i="5"/>
  <c r="U14" i="5"/>
  <c r="U13" i="5"/>
  <c r="U12" i="5"/>
  <c r="U11" i="5"/>
  <c r="U10" i="5"/>
  <c r="U9" i="5"/>
  <c r="U8" i="5"/>
  <c r="U7" i="5"/>
  <c r="U6" i="5"/>
  <c r="U5" i="5"/>
  <c r="Z4" i="5"/>
  <c r="U4" i="5"/>
  <c r="C82" i="5"/>
  <c r="U82" i="5" s="1"/>
  <c r="C80" i="5"/>
  <c r="U80" i="5" s="1"/>
  <c r="C45" i="5"/>
  <c r="U45" i="5" s="1"/>
  <c r="C61" i="5"/>
  <c r="U61" i="5" s="1"/>
  <c r="N61" i="5"/>
  <c r="C58" i="5"/>
  <c r="U58" i="5" s="1"/>
  <c r="D16" i="6" l="1"/>
  <c r="P91" i="5" l="1"/>
  <c r="Y91" i="5" s="1"/>
  <c r="P90" i="5"/>
  <c r="Y90" i="5" s="1"/>
  <c r="P89" i="5"/>
  <c r="Y89" i="5" s="1"/>
  <c r="P88" i="5"/>
  <c r="Y88" i="5" s="1"/>
  <c r="P87" i="5"/>
  <c r="Y87" i="5" s="1"/>
  <c r="P86" i="5"/>
  <c r="Y86" i="5" s="1"/>
  <c r="P85" i="5"/>
  <c r="Y85" i="5" s="1"/>
  <c r="P84" i="5"/>
  <c r="Y84" i="5" s="1"/>
  <c r="P83" i="5"/>
  <c r="Y83" i="5" s="1"/>
  <c r="P62" i="5"/>
  <c r="Y62" i="5" s="1"/>
  <c r="P59" i="5"/>
  <c r="Y59" i="5" s="1"/>
  <c r="P58" i="5"/>
  <c r="Y58" i="5" s="1"/>
  <c r="P57" i="5"/>
  <c r="Y57" i="5" s="1"/>
  <c r="P56" i="5"/>
  <c r="Y56" i="5" s="1"/>
  <c r="P55" i="5"/>
  <c r="Y55" i="5" s="1"/>
  <c r="P54" i="5"/>
  <c r="Y54" i="5" s="1"/>
  <c r="P51" i="5"/>
  <c r="Y51" i="5" s="1"/>
  <c r="P49" i="5"/>
  <c r="Y49" i="5" s="1"/>
  <c r="P45" i="5"/>
  <c r="Y45" i="5" s="1"/>
  <c r="P44" i="5"/>
  <c r="Y44" i="5" s="1"/>
  <c r="P43" i="5"/>
  <c r="Y43" i="5" s="1"/>
  <c r="P42" i="5"/>
  <c r="Y42" i="5" s="1"/>
  <c r="P41" i="5"/>
  <c r="Y41" i="5" s="1"/>
  <c r="P40" i="5"/>
  <c r="Y40" i="5" s="1"/>
  <c r="P39" i="5"/>
  <c r="Y39" i="5" s="1"/>
  <c r="P38" i="5"/>
  <c r="Y38" i="5" s="1"/>
  <c r="P37" i="5"/>
  <c r="Y37" i="5" s="1"/>
  <c r="P36" i="5"/>
  <c r="Y36" i="5" s="1"/>
  <c r="P35" i="5"/>
  <c r="Y35" i="5" s="1"/>
  <c r="P94" i="5"/>
  <c r="Y94" i="5" s="1"/>
  <c r="O91" i="5"/>
  <c r="O90" i="5"/>
  <c r="O89" i="5"/>
  <c r="O88" i="5"/>
  <c r="O87" i="5"/>
  <c r="O86" i="5"/>
  <c r="O85" i="5"/>
  <c r="O84" i="5"/>
  <c r="O83" i="5"/>
  <c r="O62" i="5"/>
  <c r="O59" i="5"/>
  <c r="O58" i="5"/>
  <c r="O57" i="5"/>
  <c r="O56" i="5"/>
  <c r="O55" i="5"/>
  <c r="O54" i="5"/>
  <c r="O51" i="5"/>
  <c r="O49" i="5"/>
  <c r="O45" i="5"/>
  <c r="O44" i="5"/>
  <c r="O43" i="5"/>
  <c r="O42" i="5"/>
  <c r="O41" i="5"/>
  <c r="O40" i="5"/>
  <c r="O39" i="5"/>
  <c r="O38" i="5"/>
  <c r="O37" i="5"/>
  <c r="O36" i="5"/>
  <c r="O35" i="5"/>
  <c r="O8" i="5"/>
  <c r="O3" i="5"/>
  <c r="O1" i="5"/>
  <c r="O75" i="5" s="1"/>
  <c r="N94" i="5"/>
  <c r="N93" i="5"/>
  <c r="N92" i="5"/>
  <c r="N91" i="5"/>
  <c r="N90" i="5"/>
  <c r="N89" i="5"/>
  <c r="N88" i="5"/>
  <c r="N87" i="5"/>
  <c r="N86" i="5"/>
  <c r="N85" i="5"/>
  <c r="N84" i="5"/>
  <c r="N83" i="5"/>
  <c r="N82" i="5"/>
  <c r="N81" i="5"/>
  <c r="N80" i="5"/>
  <c r="N79" i="5"/>
  <c r="N78" i="5"/>
  <c r="N77" i="5"/>
  <c r="N76" i="5"/>
  <c r="N75" i="5"/>
  <c r="N74" i="5"/>
  <c r="N73" i="5"/>
  <c r="N72" i="5"/>
  <c r="N71" i="5"/>
  <c r="N70" i="5"/>
  <c r="N69" i="5"/>
  <c r="N68" i="5"/>
  <c r="N67" i="5"/>
  <c r="N66" i="5"/>
  <c r="N65" i="5"/>
  <c r="N64" i="5"/>
  <c r="N63" i="5"/>
  <c r="N62" i="5"/>
  <c r="N60" i="5"/>
  <c r="N59" i="5"/>
  <c r="N58" i="5"/>
  <c r="N57" i="5"/>
  <c r="N56" i="5"/>
  <c r="N55" i="5"/>
  <c r="N54" i="5"/>
  <c r="N53" i="5"/>
  <c r="N52" i="5"/>
  <c r="N51" i="5"/>
  <c r="N50" i="5"/>
  <c r="N49" i="5"/>
  <c r="N48" i="5"/>
  <c r="N47" i="5"/>
  <c r="N46" i="5"/>
  <c r="N45" i="5"/>
  <c r="N44" i="5"/>
  <c r="N43" i="5"/>
  <c r="N42" i="5"/>
  <c r="N41" i="5"/>
  <c r="N40" i="5"/>
  <c r="N39" i="5"/>
  <c r="N38" i="5"/>
  <c r="N37" i="5"/>
  <c r="N36" i="5"/>
  <c r="N35" i="5"/>
  <c r="N34" i="5"/>
  <c r="N33" i="5"/>
  <c r="N32" i="5"/>
  <c r="N31" i="5"/>
  <c r="N30" i="5"/>
  <c r="N29" i="5"/>
  <c r="N28" i="5"/>
  <c r="N27" i="5"/>
  <c r="N26" i="5"/>
  <c r="N25" i="5"/>
  <c r="N24" i="5"/>
  <c r="N23" i="5"/>
  <c r="N22" i="5"/>
  <c r="N21" i="5"/>
  <c r="N20" i="5"/>
  <c r="N19" i="5"/>
  <c r="N18" i="5"/>
  <c r="N17" i="5"/>
  <c r="N16" i="5"/>
  <c r="N15" i="5"/>
  <c r="N14" i="5"/>
  <c r="N13" i="5"/>
  <c r="N12" i="5"/>
  <c r="N11" i="5"/>
  <c r="N10" i="5"/>
  <c r="N9" i="5"/>
  <c r="N8" i="5"/>
  <c r="N7" i="5"/>
  <c r="N6" i="5"/>
  <c r="N5" i="5"/>
  <c r="N4" i="5"/>
  <c r="F38" i="4"/>
  <c r="F37" i="4"/>
  <c r="F16" i="4"/>
  <c r="F15" i="4"/>
  <c r="F14" i="4"/>
  <c r="F13" i="4"/>
  <c r="A16" i="6"/>
  <c r="E12" i="6"/>
  <c r="E11" i="6"/>
  <c r="E10" i="6"/>
  <c r="E9" i="6"/>
  <c r="E8" i="6"/>
  <c r="E7" i="6"/>
  <c r="E6" i="6"/>
  <c r="E5" i="6"/>
  <c r="C43" i="4"/>
  <c r="E43" i="4" s="1"/>
  <c r="F43" i="4" s="1"/>
  <c r="C42" i="4"/>
  <c r="E42" i="4" s="1"/>
  <c r="F42" i="4" s="1"/>
  <c r="E41" i="4"/>
  <c r="F41" i="4" s="1"/>
  <c r="C40" i="4"/>
  <c r="E40" i="4" s="1"/>
  <c r="F40" i="4" s="1"/>
  <c r="C39" i="4"/>
  <c r="E39" i="4" s="1"/>
  <c r="F39" i="4" s="1"/>
  <c r="C38" i="4"/>
  <c r="C36" i="4"/>
  <c r="E36" i="4" s="1"/>
  <c r="F36" i="4" s="1"/>
  <c r="C35" i="4"/>
  <c r="E35" i="4" s="1"/>
  <c r="F35" i="4" s="1"/>
  <c r="E34" i="4"/>
  <c r="F34" i="4" s="1"/>
  <c r="C33" i="4"/>
  <c r="E33" i="4" s="1"/>
  <c r="F33" i="4" s="1"/>
  <c r="C32" i="4"/>
  <c r="E32" i="4" s="1"/>
  <c r="F32" i="4" s="1"/>
  <c r="C29" i="4"/>
  <c r="E29" i="4" s="1"/>
  <c r="F29" i="4" s="1"/>
  <c r="E28" i="4"/>
  <c r="F28" i="4" s="1"/>
  <c r="C27" i="4"/>
  <c r="E27" i="4" s="1"/>
  <c r="F27" i="4" s="1"/>
  <c r="C26" i="4"/>
  <c r="E26" i="4" s="1"/>
  <c r="F26" i="4" s="1"/>
  <c r="E25" i="4"/>
  <c r="F25" i="4" s="1"/>
  <c r="E51" i="4"/>
  <c r="F51" i="4" s="1"/>
  <c r="C12" i="4"/>
  <c r="E12" i="4" s="1"/>
  <c r="F12" i="4" s="1"/>
  <c r="C11" i="4"/>
  <c r="E10" i="4"/>
  <c r="F10" i="4" s="1"/>
  <c r="C9" i="4"/>
  <c r="C8" i="4"/>
  <c r="C7" i="4"/>
  <c r="E7" i="4" s="1"/>
  <c r="F7" i="4" s="1"/>
  <c r="C6" i="4"/>
  <c r="C5" i="4"/>
  <c r="W6" i="5" l="1"/>
  <c r="W22" i="5"/>
  <c r="W38" i="5"/>
  <c r="W54" i="5"/>
  <c r="W71" i="5"/>
  <c r="W87" i="5"/>
  <c r="X40" i="5"/>
  <c r="X84" i="5"/>
  <c r="E11" i="4"/>
  <c r="F11" i="4" s="1"/>
  <c r="V90" i="5"/>
  <c r="V82" i="5"/>
  <c r="V74" i="5"/>
  <c r="V66" i="5"/>
  <c r="V58" i="5"/>
  <c r="V50" i="5"/>
  <c r="V42" i="5"/>
  <c r="V34" i="5"/>
  <c r="V26" i="5"/>
  <c r="V18" i="5"/>
  <c r="V10" i="5"/>
  <c r="V35" i="5"/>
  <c r="V89" i="5"/>
  <c r="V81" i="5"/>
  <c r="V73" i="5"/>
  <c r="V65" i="5"/>
  <c r="V57" i="5"/>
  <c r="V49" i="5"/>
  <c r="V41" i="5"/>
  <c r="V33" i="5"/>
  <c r="V25" i="5"/>
  <c r="V17" i="5"/>
  <c r="V9" i="5"/>
  <c r="V83" i="5"/>
  <c r="V19" i="5"/>
  <c r="V88" i="5"/>
  <c r="V80" i="5"/>
  <c r="V72" i="5"/>
  <c r="V64" i="5"/>
  <c r="V56" i="5"/>
  <c r="V48" i="5"/>
  <c r="V40" i="5"/>
  <c r="V32" i="5"/>
  <c r="V24" i="5"/>
  <c r="V16" i="5"/>
  <c r="V8" i="5"/>
  <c r="V67" i="5"/>
  <c r="V11" i="5"/>
  <c r="V87" i="5"/>
  <c r="V79" i="5"/>
  <c r="V71" i="5"/>
  <c r="V63" i="5"/>
  <c r="V55" i="5"/>
  <c r="V47" i="5"/>
  <c r="V39" i="5"/>
  <c r="V31" i="5"/>
  <c r="V23" i="5"/>
  <c r="V15" i="5"/>
  <c r="V7" i="5"/>
  <c r="V75" i="5"/>
  <c r="V27" i="5"/>
  <c r="V94" i="5"/>
  <c r="V86" i="5"/>
  <c r="V78" i="5"/>
  <c r="V70" i="5"/>
  <c r="V62" i="5"/>
  <c r="V54" i="5"/>
  <c r="V46" i="5"/>
  <c r="V38" i="5"/>
  <c r="V30" i="5"/>
  <c r="V22" i="5"/>
  <c r="V14" i="5"/>
  <c r="V6" i="5"/>
  <c r="V91" i="5"/>
  <c r="V43" i="5"/>
  <c r="V93" i="5"/>
  <c r="V85" i="5"/>
  <c r="V77" i="5"/>
  <c r="V69" i="5"/>
  <c r="V61" i="5"/>
  <c r="V53" i="5"/>
  <c r="V45" i="5"/>
  <c r="V37" i="5"/>
  <c r="V29" i="5"/>
  <c r="V21" i="5"/>
  <c r="V13" i="5"/>
  <c r="V5" i="5"/>
  <c r="V51" i="5"/>
  <c r="V92" i="5"/>
  <c r="V84" i="5"/>
  <c r="V76" i="5"/>
  <c r="V68" i="5"/>
  <c r="V60" i="5"/>
  <c r="V52" i="5"/>
  <c r="V44" i="5"/>
  <c r="V36" i="5"/>
  <c r="V28" i="5"/>
  <c r="V20" i="5"/>
  <c r="V12" i="5"/>
  <c r="V4" i="5"/>
  <c r="V59" i="5"/>
  <c r="W7" i="5"/>
  <c r="W15" i="5"/>
  <c r="W23" i="5"/>
  <c r="W31" i="5"/>
  <c r="W39" i="5"/>
  <c r="W47" i="5"/>
  <c r="W55" i="5"/>
  <c r="W64" i="5"/>
  <c r="W72" i="5"/>
  <c r="W80" i="5"/>
  <c r="W88" i="5"/>
  <c r="X41" i="5"/>
  <c r="AA41" i="5" s="1"/>
  <c r="AB41" i="5" s="1"/>
  <c r="AF41" i="5" s="1"/>
  <c r="X55" i="5"/>
  <c r="X85" i="5"/>
  <c r="W14" i="5"/>
  <c r="W30" i="5"/>
  <c r="W46" i="5"/>
  <c r="W63" i="5"/>
  <c r="W79" i="5"/>
  <c r="X75" i="5"/>
  <c r="X54" i="5"/>
  <c r="W8" i="5"/>
  <c r="W16" i="5"/>
  <c r="W24" i="5"/>
  <c r="W32" i="5"/>
  <c r="W40" i="5"/>
  <c r="W48" i="5"/>
  <c r="W56" i="5"/>
  <c r="W65" i="5"/>
  <c r="W73" i="5"/>
  <c r="W81" i="5"/>
  <c r="W89" i="5"/>
  <c r="X8" i="5"/>
  <c r="X42" i="5"/>
  <c r="X56" i="5"/>
  <c r="X86" i="5"/>
  <c r="W9" i="5"/>
  <c r="W17" i="5"/>
  <c r="W25" i="5"/>
  <c r="W33" i="5"/>
  <c r="W41" i="5"/>
  <c r="W49" i="5"/>
  <c r="W57" i="5"/>
  <c r="W66" i="5"/>
  <c r="W74" i="5"/>
  <c r="W82" i="5"/>
  <c r="W90" i="5"/>
  <c r="X35" i="5"/>
  <c r="X43" i="5"/>
  <c r="X57" i="5"/>
  <c r="X87" i="5"/>
  <c r="E9" i="4"/>
  <c r="F9" i="4" s="1"/>
  <c r="T94" i="5"/>
  <c r="T92" i="5"/>
  <c r="T90" i="5"/>
  <c r="T88" i="5"/>
  <c r="T86" i="5"/>
  <c r="T84" i="5"/>
  <c r="T59" i="5"/>
  <c r="T47" i="5"/>
  <c r="T61" i="5"/>
  <c r="T42" i="5"/>
  <c r="T38" i="5"/>
  <c r="T34" i="5"/>
  <c r="T30" i="5"/>
  <c r="T26" i="5"/>
  <c r="T22" i="5"/>
  <c r="T18" i="5"/>
  <c r="T14" i="5"/>
  <c r="T10" i="5"/>
  <c r="T6" i="5"/>
  <c r="T4" i="5"/>
  <c r="T55" i="5"/>
  <c r="T79" i="5"/>
  <c r="T77" i="5"/>
  <c r="T75" i="5"/>
  <c r="T73" i="5"/>
  <c r="T71" i="5"/>
  <c r="T69" i="5"/>
  <c r="T67" i="5"/>
  <c r="T65" i="5"/>
  <c r="T63" i="5"/>
  <c r="T44" i="5"/>
  <c r="T40" i="5"/>
  <c r="T36" i="5"/>
  <c r="T32" i="5"/>
  <c r="T28" i="5"/>
  <c r="T24" i="5"/>
  <c r="T20" i="5"/>
  <c r="T16" i="5"/>
  <c r="T12" i="5"/>
  <c r="T8" i="5"/>
  <c r="T49" i="5"/>
  <c r="T81" i="5"/>
  <c r="T58" i="5"/>
  <c r="T56" i="5"/>
  <c r="T54" i="5"/>
  <c r="T52" i="5"/>
  <c r="T50" i="5"/>
  <c r="T48" i="5"/>
  <c r="T46" i="5"/>
  <c r="T57" i="5"/>
  <c r="T93" i="5"/>
  <c r="T91" i="5"/>
  <c r="T89" i="5"/>
  <c r="T87" i="5"/>
  <c r="T85" i="5"/>
  <c r="T83" i="5"/>
  <c r="T60" i="5"/>
  <c r="T45" i="5"/>
  <c r="T41" i="5"/>
  <c r="T37" i="5"/>
  <c r="T33" i="5"/>
  <c r="T29" i="5"/>
  <c r="T25" i="5"/>
  <c r="T21" i="5"/>
  <c r="T17" i="5"/>
  <c r="T13" i="5"/>
  <c r="T9" i="5"/>
  <c r="T5" i="5"/>
  <c r="T82" i="5"/>
  <c r="T51" i="5"/>
  <c r="T80" i="5"/>
  <c r="T78" i="5"/>
  <c r="T76" i="5"/>
  <c r="T74" i="5"/>
  <c r="T72" i="5"/>
  <c r="T70" i="5"/>
  <c r="T68" i="5"/>
  <c r="T66" i="5"/>
  <c r="T64" i="5"/>
  <c r="T62" i="5"/>
  <c r="T43" i="5"/>
  <c r="T39" i="5"/>
  <c r="T35" i="5"/>
  <c r="T31" i="5"/>
  <c r="T27" i="5"/>
  <c r="T23" i="5"/>
  <c r="T19" i="5"/>
  <c r="T15" i="5"/>
  <c r="T11" i="5"/>
  <c r="T7" i="5"/>
  <c r="T53" i="5"/>
  <c r="E5" i="4"/>
  <c r="F5" i="4" s="1"/>
  <c r="R80" i="5"/>
  <c r="R78" i="5"/>
  <c r="R76" i="5"/>
  <c r="R74" i="5"/>
  <c r="R72" i="5"/>
  <c r="R70" i="5"/>
  <c r="R68" i="5"/>
  <c r="R66" i="5"/>
  <c r="R64" i="5"/>
  <c r="R62" i="5"/>
  <c r="R45" i="5"/>
  <c r="R43" i="5"/>
  <c r="R41" i="5"/>
  <c r="R39" i="5"/>
  <c r="R37" i="5"/>
  <c r="R35" i="5"/>
  <c r="R33" i="5"/>
  <c r="R31" i="5"/>
  <c r="R29" i="5"/>
  <c r="R27" i="5"/>
  <c r="R25" i="5"/>
  <c r="R23" i="5"/>
  <c r="R21" i="5"/>
  <c r="R19" i="5"/>
  <c r="R17" i="5"/>
  <c r="R15" i="5"/>
  <c r="R13" i="5"/>
  <c r="R11" i="5"/>
  <c r="R9" i="5"/>
  <c r="R7" i="5"/>
  <c r="R5" i="5"/>
  <c r="R82" i="5"/>
  <c r="R57" i="5"/>
  <c r="R55" i="5"/>
  <c r="R53" i="5"/>
  <c r="R51" i="5"/>
  <c r="R49" i="5"/>
  <c r="R47" i="5"/>
  <c r="R59" i="5"/>
  <c r="R94" i="5"/>
  <c r="R92" i="5"/>
  <c r="R90" i="5"/>
  <c r="R88" i="5"/>
  <c r="R86" i="5"/>
  <c r="R84" i="5"/>
  <c r="R10" i="5"/>
  <c r="R6" i="5"/>
  <c r="R61" i="5"/>
  <c r="R79" i="5"/>
  <c r="R77" i="5"/>
  <c r="R75" i="5"/>
  <c r="R73" i="5"/>
  <c r="R71" i="5"/>
  <c r="R69" i="5"/>
  <c r="R67" i="5"/>
  <c r="R65" i="5"/>
  <c r="R63" i="5"/>
  <c r="R44" i="5"/>
  <c r="R42" i="5"/>
  <c r="R40" i="5"/>
  <c r="AA40" i="5" s="1"/>
  <c r="AB40" i="5" s="1"/>
  <c r="AF40" i="5" s="1"/>
  <c r="R38" i="5"/>
  <c r="R36" i="5"/>
  <c r="R34" i="5"/>
  <c r="R32" i="5"/>
  <c r="R30" i="5"/>
  <c r="R28" i="5"/>
  <c r="R26" i="5"/>
  <c r="R24" i="5"/>
  <c r="R22" i="5"/>
  <c r="R20" i="5"/>
  <c r="R18" i="5"/>
  <c r="R16" i="5"/>
  <c r="R14" i="5"/>
  <c r="R12" i="5"/>
  <c r="R8" i="5"/>
  <c r="R81" i="5"/>
  <c r="R58" i="5"/>
  <c r="R56" i="5"/>
  <c r="R54" i="5"/>
  <c r="R52" i="5"/>
  <c r="R50" i="5"/>
  <c r="R48" i="5"/>
  <c r="R46" i="5"/>
  <c r="R4" i="5"/>
  <c r="R93" i="5"/>
  <c r="R91" i="5"/>
  <c r="R89" i="5"/>
  <c r="R87" i="5"/>
  <c r="R85" i="5"/>
  <c r="R83" i="5"/>
  <c r="R60" i="5"/>
  <c r="E6" i="4"/>
  <c r="F6" i="4" s="1"/>
  <c r="S82" i="5"/>
  <c r="S57" i="5"/>
  <c r="S55" i="5"/>
  <c r="S53" i="5"/>
  <c r="S51" i="5"/>
  <c r="S49" i="5"/>
  <c r="S47" i="5"/>
  <c r="S76" i="5"/>
  <c r="S64" i="5"/>
  <c r="S33" i="5"/>
  <c r="S19" i="5"/>
  <c r="S5" i="5"/>
  <c r="S94" i="5"/>
  <c r="S92" i="5"/>
  <c r="S90" i="5"/>
  <c r="S88" i="5"/>
  <c r="AA88" i="5" s="1"/>
  <c r="AB88" i="5" s="1"/>
  <c r="AF88" i="5" s="1"/>
  <c r="S86" i="5"/>
  <c r="S84" i="5"/>
  <c r="S59" i="5"/>
  <c r="S16" i="5"/>
  <c r="S8" i="5"/>
  <c r="S72" i="5"/>
  <c r="S41" i="5"/>
  <c r="S27" i="5"/>
  <c r="S13" i="5"/>
  <c r="S61" i="5"/>
  <c r="S10" i="5"/>
  <c r="S66" i="5"/>
  <c r="S31" i="5"/>
  <c r="S17" i="5"/>
  <c r="S79" i="5"/>
  <c r="S77" i="5"/>
  <c r="S75" i="5"/>
  <c r="S73" i="5"/>
  <c r="S71" i="5"/>
  <c r="S69" i="5"/>
  <c r="S67" i="5"/>
  <c r="S65" i="5"/>
  <c r="S63" i="5"/>
  <c r="S44" i="5"/>
  <c r="S42" i="5"/>
  <c r="AA42" i="5" s="1"/>
  <c r="AB42" i="5" s="1"/>
  <c r="AF42" i="5" s="1"/>
  <c r="S40" i="5"/>
  <c r="S38" i="5"/>
  <c r="S36" i="5"/>
  <c r="S34" i="5"/>
  <c r="S32" i="5"/>
  <c r="S30" i="5"/>
  <c r="S28" i="5"/>
  <c r="S26" i="5"/>
  <c r="S24" i="5"/>
  <c r="S22" i="5"/>
  <c r="S20" i="5"/>
  <c r="S18" i="5"/>
  <c r="S14" i="5"/>
  <c r="S12" i="5"/>
  <c r="S6" i="5"/>
  <c r="S4" i="5"/>
  <c r="S74" i="5"/>
  <c r="S43" i="5"/>
  <c r="S29" i="5"/>
  <c r="S15" i="5"/>
  <c r="S81" i="5"/>
  <c r="S58" i="5"/>
  <c r="S56" i="5"/>
  <c r="AA56" i="5" s="1"/>
  <c r="AB56" i="5" s="1"/>
  <c r="AF56" i="5" s="1"/>
  <c r="S54" i="5"/>
  <c r="S52" i="5"/>
  <c r="S50" i="5"/>
  <c r="S48" i="5"/>
  <c r="S46" i="5"/>
  <c r="S78" i="5"/>
  <c r="S62" i="5"/>
  <c r="S45" i="5"/>
  <c r="S35" i="5"/>
  <c r="S21" i="5"/>
  <c r="S7" i="5"/>
  <c r="S93" i="5"/>
  <c r="S91" i="5"/>
  <c r="AA91" i="5" s="1"/>
  <c r="AB91" i="5" s="1"/>
  <c r="AF91" i="5" s="1"/>
  <c r="S89" i="5"/>
  <c r="S87" i="5"/>
  <c r="S85" i="5"/>
  <c r="S83" i="5"/>
  <c r="AA83" i="5" s="1"/>
  <c r="AB83" i="5" s="1"/>
  <c r="AF83" i="5" s="1"/>
  <c r="S60" i="5"/>
  <c r="S68" i="5"/>
  <c r="S39" i="5"/>
  <c r="S25" i="5"/>
  <c r="S11" i="5"/>
  <c r="S80" i="5"/>
  <c r="S70" i="5"/>
  <c r="S37" i="5"/>
  <c r="AA37" i="5" s="1"/>
  <c r="AB37" i="5" s="1"/>
  <c r="S23" i="5"/>
  <c r="S9" i="5"/>
  <c r="W10" i="5"/>
  <c r="W18" i="5"/>
  <c r="W26" i="5"/>
  <c r="W34" i="5"/>
  <c r="W42" i="5"/>
  <c r="W50" i="5"/>
  <c r="W58" i="5"/>
  <c r="W67" i="5"/>
  <c r="W75" i="5"/>
  <c r="W83" i="5"/>
  <c r="W91" i="5"/>
  <c r="X36" i="5"/>
  <c r="X44" i="5"/>
  <c r="X58" i="5"/>
  <c r="X88" i="5"/>
  <c r="W11" i="5"/>
  <c r="W19" i="5"/>
  <c r="W27" i="5"/>
  <c r="W35" i="5"/>
  <c r="W43" i="5"/>
  <c r="W51" i="5"/>
  <c r="W59" i="5"/>
  <c r="AA59" i="5" s="1"/>
  <c r="AB59" i="5" s="1"/>
  <c r="AF59" i="5" s="1"/>
  <c r="W68" i="5"/>
  <c r="W76" i="5"/>
  <c r="W84" i="5"/>
  <c r="W92" i="5"/>
  <c r="X37" i="5"/>
  <c r="X45" i="5"/>
  <c r="X59" i="5"/>
  <c r="X89" i="5"/>
  <c r="AA89" i="5" s="1"/>
  <c r="AB89" i="5" s="1"/>
  <c r="AF89" i="5" s="1"/>
  <c r="E8" i="4"/>
  <c r="F8" i="4" s="1"/>
  <c r="W61" i="5"/>
  <c r="W4" i="5"/>
  <c r="W12" i="5"/>
  <c r="W20" i="5"/>
  <c r="W28" i="5"/>
  <c r="W36" i="5"/>
  <c r="W44" i="5"/>
  <c r="W52" i="5"/>
  <c r="W60" i="5"/>
  <c r="W69" i="5"/>
  <c r="W77" i="5"/>
  <c r="W85" i="5"/>
  <c r="W93" i="5"/>
  <c r="X38" i="5"/>
  <c r="X49" i="5"/>
  <c r="X62" i="5"/>
  <c r="X90" i="5"/>
  <c r="W5" i="5"/>
  <c r="W13" i="5"/>
  <c r="W21" i="5"/>
  <c r="W29" i="5"/>
  <c r="W37" i="5"/>
  <c r="W45" i="5"/>
  <c r="W53" i="5"/>
  <c r="W62" i="5"/>
  <c r="W70" i="5"/>
  <c r="W78" i="5"/>
  <c r="W86" i="5"/>
  <c r="W94" i="5"/>
  <c r="X39" i="5"/>
  <c r="X51" i="5"/>
  <c r="X83" i="5"/>
  <c r="X91" i="5"/>
  <c r="O19" i="5"/>
  <c r="X19" i="5" s="1"/>
  <c r="O73" i="5"/>
  <c r="X73" i="5" s="1"/>
  <c r="O17" i="5"/>
  <c r="X17" i="5" s="1"/>
  <c r="O67" i="5"/>
  <c r="X67" i="5" s="1"/>
  <c r="O24" i="5"/>
  <c r="X24" i="5" s="1"/>
  <c r="O82" i="5"/>
  <c r="X82" i="5" s="1"/>
  <c r="O61" i="5"/>
  <c r="X61" i="5" s="1"/>
  <c r="O33" i="5"/>
  <c r="X33" i="5" s="1"/>
  <c r="O4" i="5"/>
  <c r="X4" i="5" s="1"/>
  <c r="O5" i="5"/>
  <c r="X5" i="5" s="1"/>
  <c r="O21" i="5"/>
  <c r="X21" i="5" s="1"/>
  <c r="O27" i="5"/>
  <c r="X27" i="5" s="1"/>
  <c r="O69" i="5"/>
  <c r="X69" i="5" s="1"/>
  <c r="O11" i="5"/>
  <c r="X11" i="5" s="1"/>
  <c r="O81" i="5"/>
  <c r="X81" i="5" s="1"/>
  <c r="P4" i="5"/>
  <c r="Y4" i="5" s="1"/>
  <c r="P14" i="5"/>
  <c r="Y14" i="5" s="1"/>
  <c r="P25" i="5"/>
  <c r="Y25" i="5" s="1"/>
  <c r="P71" i="5"/>
  <c r="Y71" i="5" s="1"/>
  <c r="P13" i="5"/>
  <c r="Y13" i="5" s="1"/>
  <c r="P5" i="5"/>
  <c r="Y5" i="5" s="1"/>
  <c r="P15" i="5"/>
  <c r="Y15" i="5" s="1"/>
  <c r="P26" i="5"/>
  <c r="Y26" i="5" s="1"/>
  <c r="P47" i="5"/>
  <c r="Y47" i="5" s="1"/>
  <c r="P73" i="5"/>
  <c r="Y73" i="5" s="1"/>
  <c r="P6" i="5"/>
  <c r="Y6" i="5" s="1"/>
  <c r="P17" i="5"/>
  <c r="Y17" i="5" s="1"/>
  <c r="P29" i="5"/>
  <c r="Y29" i="5" s="1"/>
  <c r="P77" i="5"/>
  <c r="Y77" i="5" s="1"/>
  <c r="O9" i="5"/>
  <c r="X9" i="5" s="1"/>
  <c r="O25" i="5"/>
  <c r="X25" i="5" s="1"/>
  <c r="O77" i="5"/>
  <c r="X77" i="5" s="1"/>
  <c r="P7" i="5"/>
  <c r="Y7" i="5" s="1"/>
  <c r="P18" i="5"/>
  <c r="Y18" i="5" s="1"/>
  <c r="P30" i="5"/>
  <c r="Y30" i="5" s="1"/>
  <c r="P79" i="5"/>
  <c r="Y79" i="5" s="1"/>
  <c r="P9" i="5"/>
  <c r="Y9" i="5" s="1"/>
  <c r="P20" i="5"/>
  <c r="Y20" i="5" s="1"/>
  <c r="P31" i="5"/>
  <c r="Y31" i="5" s="1"/>
  <c r="P53" i="5"/>
  <c r="Y53" i="5" s="1"/>
  <c r="P81" i="5"/>
  <c r="Y81" i="5" s="1"/>
  <c r="P23" i="5"/>
  <c r="Y23" i="5" s="1"/>
  <c r="P69" i="5"/>
  <c r="Y69" i="5" s="1"/>
  <c r="O13" i="5"/>
  <c r="X13" i="5" s="1"/>
  <c r="O29" i="5"/>
  <c r="X29" i="5" s="1"/>
  <c r="O53" i="5"/>
  <c r="X53" i="5" s="1"/>
  <c r="P10" i="5"/>
  <c r="Y10" i="5" s="1"/>
  <c r="P21" i="5"/>
  <c r="Y21" i="5" s="1"/>
  <c r="P33" i="5"/>
  <c r="Y33" i="5" s="1"/>
  <c r="P63" i="5"/>
  <c r="Y63" i="5" s="1"/>
  <c r="O16" i="5"/>
  <c r="X16" i="5" s="1"/>
  <c r="O32" i="5"/>
  <c r="X32" i="5" s="1"/>
  <c r="O65" i="5"/>
  <c r="X65" i="5" s="1"/>
  <c r="O93" i="5"/>
  <c r="X93" i="5" s="1"/>
  <c r="P12" i="5"/>
  <c r="Y12" i="5" s="1"/>
  <c r="P22" i="5"/>
  <c r="Y22" i="5" s="1"/>
  <c r="P65" i="5"/>
  <c r="Y65" i="5" s="1"/>
  <c r="P93" i="5"/>
  <c r="Y93" i="5" s="1"/>
  <c r="O12" i="5"/>
  <c r="X12" i="5" s="1"/>
  <c r="O20" i="5"/>
  <c r="X20" i="5" s="1"/>
  <c r="O28" i="5"/>
  <c r="X28" i="5" s="1"/>
  <c r="O52" i="5"/>
  <c r="X52" i="5" s="1"/>
  <c r="O60" i="5"/>
  <c r="X60" i="5" s="1"/>
  <c r="O68" i="5"/>
  <c r="X68" i="5" s="1"/>
  <c r="O76" i="5"/>
  <c r="X76" i="5" s="1"/>
  <c r="O92" i="5"/>
  <c r="X92" i="5" s="1"/>
  <c r="P8" i="5"/>
  <c r="Y8" i="5" s="1"/>
  <c r="P16" i="5"/>
  <c r="Y16" i="5" s="1"/>
  <c r="P24" i="5"/>
  <c r="Y24" i="5" s="1"/>
  <c r="P32" i="5"/>
  <c r="Y32" i="5" s="1"/>
  <c r="P48" i="5"/>
  <c r="Y48" i="5" s="1"/>
  <c r="P64" i="5"/>
  <c r="Y64" i="5" s="1"/>
  <c r="P72" i="5"/>
  <c r="Y72" i="5" s="1"/>
  <c r="P80" i="5"/>
  <c r="Y80" i="5" s="1"/>
  <c r="O6" i="5"/>
  <c r="X6" i="5" s="1"/>
  <c r="O14" i="5"/>
  <c r="X14" i="5" s="1"/>
  <c r="O22" i="5"/>
  <c r="X22" i="5" s="1"/>
  <c r="O30" i="5"/>
  <c r="X30" i="5" s="1"/>
  <c r="O46" i="5"/>
  <c r="X46" i="5" s="1"/>
  <c r="O70" i="5"/>
  <c r="X70" i="5" s="1"/>
  <c r="O78" i="5"/>
  <c r="X78" i="5" s="1"/>
  <c r="O94" i="5"/>
  <c r="X94" i="5" s="1"/>
  <c r="AA94" i="5" s="1"/>
  <c r="AB94" i="5" s="1"/>
  <c r="AF94" i="5" s="1"/>
  <c r="P34" i="5"/>
  <c r="Y34" i="5" s="1"/>
  <c r="P50" i="5"/>
  <c r="Y50" i="5" s="1"/>
  <c r="P66" i="5"/>
  <c r="Y66" i="5" s="1"/>
  <c r="P74" i="5"/>
  <c r="Y74" i="5" s="1"/>
  <c r="P82" i="5"/>
  <c r="Y82" i="5" s="1"/>
  <c r="O7" i="5"/>
  <c r="X7" i="5" s="1"/>
  <c r="O15" i="5"/>
  <c r="X15" i="5" s="1"/>
  <c r="O23" i="5"/>
  <c r="X23" i="5" s="1"/>
  <c r="AA23" i="5" s="1"/>
  <c r="AB23" i="5" s="1"/>
  <c r="AF23" i="5" s="1"/>
  <c r="O31" i="5"/>
  <c r="X31" i="5" s="1"/>
  <c r="O47" i="5"/>
  <c r="X47" i="5" s="1"/>
  <c r="O63" i="5"/>
  <c r="X63" i="5" s="1"/>
  <c r="O71" i="5"/>
  <c r="X71" i="5" s="1"/>
  <c r="O79" i="5"/>
  <c r="X79" i="5" s="1"/>
  <c r="P11" i="5"/>
  <c r="Y11" i="5" s="1"/>
  <c r="P19" i="5"/>
  <c r="Y19" i="5" s="1"/>
  <c r="P27" i="5"/>
  <c r="Y27" i="5" s="1"/>
  <c r="P67" i="5"/>
  <c r="Y67" i="5" s="1"/>
  <c r="P75" i="5"/>
  <c r="Y75" i="5" s="1"/>
  <c r="O48" i="5"/>
  <c r="X48" i="5" s="1"/>
  <c r="O64" i="5"/>
  <c r="X64" i="5" s="1"/>
  <c r="O72" i="5"/>
  <c r="X72" i="5" s="1"/>
  <c r="O80" i="5"/>
  <c r="X80" i="5" s="1"/>
  <c r="P28" i="5"/>
  <c r="Y28" i="5" s="1"/>
  <c r="P52" i="5"/>
  <c r="Y52" i="5" s="1"/>
  <c r="P60" i="5"/>
  <c r="Y60" i="5" s="1"/>
  <c r="P68" i="5"/>
  <c r="Y68" i="5" s="1"/>
  <c r="P76" i="5"/>
  <c r="Y76" i="5" s="1"/>
  <c r="P92" i="5"/>
  <c r="Y92" i="5" s="1"/>
  <c r="O10" i="5"/>
  <c r="X10" i="5" s="1"/>
  <c r="AA10" i="5" s="1"/>
  <c r="AB10" i="5" s="1"/>
  <c r="AF10" i="5" s="1"/>
  <c r="O18" i="5"/>
  <c r="X18" i="5" s="1"/>
  <c r="O26" i="5"/>
  <c r="X26" i="5" s="1"/>
  <c r="O34" i="5"/>
  <c r="X34" i="5" s="1"/>
  <c r="O50" i="5"/>
  <c r="X50" i="5" s="1"/>
  <c r="O66" i="5"/>
  <c r="X66" i="5" s="1"/>
  <c r="O74" i="5"/>
  <c r="X74" i="5" s="1"/>
  <c r="P46" i="5"/>
  <c r="Y46" i="5" s="1"/>
  <c r="P70" i="5"/>
  <c r="Y70" i="5" s="1"/>
  <c r="P78" i="5"/>
  <c r="Y78" i="5" s="1"/>
  <c r="D3" i="6"/>
  <c r="AA51" i="5" l="1"/>
  <c r="AB51" i="5" s="1"/>
  <c r="AF51" i="5" s="1"/>
  <c r="AA44" i="5"/>
  <c r="AB44" i="5" s="1"/>
  <c r="AF44" i="5" s="1"/>
  <c r="AA45" i="5"/>
  <c r="AB45" i="5" s="1"/>
  <c r="AA86" i="5"/>
  <c r="AB86" i="5" s="1"/>
  <c r="AF86" i="5" s="1"/>
  <c r="AA58" i="5"/>
  <c r="AB58" i="5" s="1"/>
  <c r="AF58" i="5" s="1"/>
  <c r="AA84" i="5"/>
  <c r="AB84" i="5" s="1"/>
  <c r="AF84" i="5" s="1"/>
  <c r="AA36" i="5"/>
  <c r="AB36" i="5" s="1"/>
  <c r="AF36" i="5" s="1"/>
  <c r="AA55" i="5"/>
  <c r="AB55" i="5" s="1"/>
  <c r="AF55" i="5" s="1"/>
  <c r="AA39" i="5"/>
  <c r="AB39" i="5" s="1"/>
  <c r="AF39" i="5" s="1"/>
  <c r="AF37" i="5"/>
  <c r="AC37" i="5"/>
  <c r="AD37" i="5" s="1"/>
  <c r="AF45" i="5"/>
  <c r="AC45" i="5"/>
  <c r="AD45" i="5" s="1"/>
  <c r="AA43" i="5"/>
  <c r="AB43" i="5" s="1"/>
  <c r="AF43" i="5" s="1"/>
  <c r="AA57" i="5"/>
  <c r="AB57" i="5" s="1"/>
  <c r="AF57" i="5" s="1"/>
  <c r="AA85" i="5"/>
  <c r="AB85" i="5" s="1"/>
  <c r="AF85" i="5" s="1"/>
  <c r="AA35" i="5"/>
  <c r="AB35" i="5" s="1"/>
  <c r="AF35" i="5" s="1"/>
  <c r="AA49" i="5"/>
  <c r="AB49" i="5" s="1"/>
  <c r="AF49" i="5" s="1"/>
  <c r="AA87" i="5"/>
  <c r="AB87" i="5" s="1"/>
  <c r="AF87" i="5" s="1"/>
  <c r="AA54" i="5"/>
  <c r="AB54" i="5" s="1"/>
  <c r="AF54" i="5" s="1"/>
  <c r="AA75" i="5"/>
  <c r="AB75" i="5" s="1"/>
  <c r="AF75" i="5" s="1"/>
  <c r="AA13" i="5"/>
  <c r="AB13" i="5" s="1"/>
  <c r="AF13" i="5" s="1"/>
  <c r="AA62" i="5"/>
  <c r="AB62" i="5" s="1"/>
  <c r="AF62" i="5" s="1"/>
  <c r="AA90" i="5"/>
  <c r="AB90" i="5" s="1"/>
  <c r="AF90" i="5" s="1"/>
  <c r="AA38" i="5"/>
  <c r="AB38" i="5" s="1"/>
  <c r="AF38" i="5" s="1"/>
  <c r="AA8" i="5"/>
  <c r="AB8" i="5" s="1"/>
  <c r="AF8" i="5" s="1"/>
  <c r="AA63" i="5"/>
  <c r="AB63" i="5" s="1"/>
  <c r="AF63" i="5" s="1"/>
  <c r="AA71" i="5"/>
  <c r="AB71" i="5" s="1"/>
  <c r="AF71" i="5" s="1"/>
  <c r="AA30" i="5"/>
  <c r="AB30" i="5" s="1"/>
  <c r="AF30" i="5" s="1"/>
  <c r="AA93" i="5"/>
  <c r="AB93" i="5" s="1"/>
  <c r="AF93" i="5" s="1"/>
  <c r="AA66" i="5"/>
  <c r="AB66" i="5" s="1"/>
  <c r="AF66" i="5" s="1"/>
  <c r="AA20" i="5"/>
  <c r="AB20" i="5" s="1"/>
  <c r="AF20" i="5" s="1"/>
  <c r="AA6" i="5"/>
  <c r="AB6" i="5" s="1"/>
  <c r="AF6" i="5" s="1"/>
  <c r="AA15" i="5"/>
  <c r="AB15" i="5" s="1"/>
  <c r="AF15" i="5" s="1"/>
  <c r="AA18" i="5"/>
  <c r="AB18" i="5" s="1"/>
  <c r="AF18" i="5" s="1"/>
  <c r="AA80" i="5"/>
  <c r="AB80" i="5" s="1"/>
  <c r="AF80" i="5" s="1"/>
  <c r="AA77" i="5"/>
  <c r="AB77" i="5" s="1"/>
  <c r="AF77" i="5" s="1"/>
  <c r="AA25" i="5"/>
  <c r="AB25" i="5" s="1"/>
  <c r="AF25" i="5" s="1"/>
  <c r="AC39" i="5"/>
  <c r="AD39" i="5" s="1"/>
  <c r="AA7" i="5"/>
  <c r="AB7" i="5" s="1"/>
  <c r="AF7" i="5" s="1"/>
  <c r="AA14" i="5"/>
  <c r="AB14" i="5" s="1"/>
  <c r="AF14" i="5" s="1"/>
  <c r="AA72" i="5"/>
  <c r="AB72" i="5" s="1"/>
  <c r="AF72" i="5" s="1"/>
  <c r="AA79" i="5"/>
  <c r="AB79" i="5" s="1"/>
  <c r="AF79" i="5" s="1"/>
  <c r="AC36" i="5"/>
  <c r="AD36" i="5" s="1"/>
  <c r="AA74" i="5"/>
  <c r="AB74" i="5" s="1"/>
  <c r="AF74" i="5" s="1"/>
  <c r="AA65" i="5"/>
  <c r="AB65" i="5" s="1"/>
  <c r="AF65" i="5" s="1"/>
  <c r="AA29" i="5"/>
  <c r="AB29" i="5" s="1"/>
  <c r="AF29" i="5" s="1"/>
  <c r="AA50" i="5"/>
  <c r="AB50" i="5" s="1"/>
  <c r="AF50" i="5" s="1"/>
  <c r="AA9" i="5"/>
  <c r="AB9" i="5" s="1"/>
  <c r="AF9" i="5" s="1"/>
  <c r="AA48" i="5"/>
  <c r="AB48" i="5" s="1"/>
  <c r="AF48" i="5" s="1"/>
  <c r="AA28" i="5"/>
  <c r="AB28" i="5" s="1"/>
  <c r="AF28" i="5" s="1"/>
  <c r="AA82" i="5"/>
  <c r="AB82" i="5" s="1"/>
  <c r="AF82" i="5" s="1"/>
  <c r="AA31" i="5"/>
  <c r="AB31" i="5" s="1"/>
  <c r="AF31" i="5" s="1"/>
  <c r="AA12" i="5"/>
  <c r="AB12" i="5" s="1"/>
  <c r="AF12" i="5" s="1"/>
  <c r="AA34" i="5"/>
  <c r="AB34" i="5" s="1"/>
  <c r="AF34" i="5" s="1"/>
  <c r="AA26" i="5"/>
  <c r="AB26" i="5" s="1"/>
  <c r="AF26" i="5" s="1"/>
  <c r="AA19" i="5"/>
  <c r="AB19" i="5" s="1"/>
  <c r="AF19" i="5" s="1"/>
  <c r="AA70" i="5"/>
  <c r="AB70" i="5" s="1"/>
  <c r="AF70" i="5" s="1"/>
  <c r="AA68" i="5"/>
  <c r="AB68" i="5" s="1"/>
  <c r="AF68" i="5" s="1"/>
  <c r="AA4" i="5"/>
  <c r="AB4" i="5" s="1"/>
  <c r="AA46" i="5"/>
  <c r="AB46" i="5" s="1"/>
  <c r="AF46" i="5" s="1"/>
  <c r="AA81" i="5"/>
  <c r="AB81" i="5" s="1"/>
  <c r="AF81" i="5" s="1"/>
  <c r="AA33" i="5"/>
  <c r="AB33" i="5" s="1"/>
  <c r="AF33" i="5" s="1"/>
  <c r="AA64" i="5"/>
  <c r="AB64" i="5" s="1"/>
  <c r="AF64" i="5" s="1"/>
  <c r="AA52" i="5"/>
  <c r="AB52" i="5" s="1"/>
  <c r="AF52" i="5" s="1"/>
  <c r="AA53" i="5"/>
  <c r="AB53" i="5" s="1"/>
  <c r="AF53" i="5" s="1"/>
  <c r="AA11" i="5"/>
  <c r="AB11" i="5" s="1"/>
  <c r="AF11" i="5" s="1"/>
  <c r="AA22" i="5"/>
  <c r="AB22" i="5" s="1"/>
  <c r="AF22" i="5" s="1"/>
  <c r="AA69" i="5"/>
  <c r="AB69" i="5" s="1"/>
  <c r="AF69" i="5" s="1"/>
  <c r="AA47" i="5"/>
  <c r="AB47" i="5" s="1"/>
  <c r="AF47" i="5" s="1"/>
  <c r="AA32" i="5"/>
  <c r="AB32" i="5" s="1"/>
  <c r="AF32" i="5" s="1"/>
  <c r="AA27" i="5"/>
  <c r="AB27" i="5" s="1"/>
  <c r="AF27" i="5" s="1"/>
  <c r="AA24" i="5"/>
  <c r="AB24" i="5" s="1"/>
  <c r="AF24" i="5" s="1"/>
  <c r="AA16" i="5"/>
  <c r="AB16" i="5" s="1"/>
  <c r="AF16" i="5" s="1"/>
  <c r="AA21" i="5"/>
  <c r="AB21" i="5" s="1"/>
  <c r="AF21" i="5" s="1"/>
  <c r="AA67" i="5"/>
  <c r="AB67" i="5" s="1"/>
  <c r="AF67" i="5" s="1"/>
  <c r="AA73" i="5"/>
  <c r="AB73" i="5" s="1"/>
  <c r="AF73" i="5" s="1"/>
  <c r="AA92" i="5"/>
  <c r="AB92" i="5" s="1"/>
  <c r="AF92" i="5" s="1"/>
  <c r="AA17" i="5"/>
  <c r="AB17" i="5" s="1"/>
  <c r="AF17" i="5" s="1"/>
  <c r="AA78" i="5"/>
  <c r="AB78" i="5" s="1"/>
  <c r="AF78" i="5" s="1"/>
  <c r="AA76" i="5"/>
  <c r="AB76" i="5" s="1"/>
  <c r="AF76" i="5" s="1"/>
  <c r="AA5" i="5"/>
  <c r="AB5" i="5" s="1"/>
  <c r="AF5" i="5" s="1"/>
  <c r="E45" i="5"/>
  <c r="F45" i="5" s="1"/>
  <c r="AA61" i="5"/>
  <c r="AB61" i="5" s="1"/>
  <c r="AF61" i="5" s="1"/>
  <c r="E37" i="5"/>
  <c r="F37" i="5" s="1"/>
  <c r="AC83" i="5"/>
  <c r="AD83" i="5" s="1"/>
  <c r="AC40" i="5"/>
  <c r="AC58" i="5"/>
  <c r="AC88" i="5"/>
  <c r="E88" i="5" s="1"/>
  <c r="F88" i="5" s="1"/>
  <c r="AC42" i="5"/>
  <c r="AC94" i="5"/>
  <c r="AD94" i="5" s="1"/>
  <c r="AC59" i="5"/>
  <c r="AC87" i="5"/>
  <c r="E87" i="5" s="1"/>
  <c r="F87" i="5" s="1"/>
  <c r="AC62" i="5"/>
  <c r="AC51" i="5"/>
  <c r="AC57" i="5"/>
  <c r="AC49" i="5"/>
  <c r="AC43" i="5"/>
  <c r="AC41" i="5"/>
  <c r="AC84" i="5"/>
  <c r="E84" i="5" s="1"/>
  <c r="F84" i="5" s="1"/>
  <c r="AC89" i="5"/>
  <c r="E89" i="5" s="1"/>
  <c r="F89" i="5" s="1"/>
  <c r="AC54" i="5"/>
  <c r="AD54" i="5" s="1"/>
  <c r="AC91" i="5"/>
  <c r="AD91" i="5" s="1"/>
  <c r="AC56" i="5"/>
  <c r="AD56" i="5" s="1"/>
  <c r="AC86" i="5"/>
  <c r="AD86" i="5" s="1"/>
  <c r="E39" i="5" l="1"/>
  <c r="F39" i="5" s="1"/>
  <c r="AC44" i="5"/>
  <c r="AD44" i="5" s="1"/>
  <c r="AC55" i="5"/>
  <c r="AC85" i="5"/>
  <c r="AD85" i="5" s="1"/>
  <c r="AC35" i="5"/>
  <c r="AD35" i="5" s="1"/>
  <c r="AC38" i="5"/>
  <c r="AC90" i="5"/>
  <c r="AD90" i="5" s="1"/>
  <c r="E36" i="5"/>
  <c r="F36" i="5" s="1"/>
  <c r="AH36" i="5" s="1"/>
  <c r="AD88" i="5"/>
  <c r="E56" i="5"/>
  <c r="F56" i="5" s="1"/>
  <c r="AI56" i="5" s="1"/>
  <c r="AJ56" i="5" s="1"/>
  <c r="AC61" i="5"/>
  <c r="AD61" i="5" s="1"/>
  <c r="E94" i="5"/>
  <c r="F94" i="5" s="1"/>
  <c r="AI39" i="5"/>
  <c r="AJ39" i="5" s="1"/>
  <c r="AH39" i="5"/>
  <c r="AG39" i="5"/>
  <c r="E83" i="5"/>
  <c r="F83" i="5" s="1"/>
  <c r="AI37" i="5"/>
  <c r="AJ37" i="5" s="1"/>
  <c r="AH37" i="5"/>
  <c r="AG37" i="5"/>
  <c r="AG88" i="5"/>
  <c r="AI88" i="5"/>
  <c r="AJ88" i="5" s="1"/>
  <c r="AH88" i="5"/>
  <c r="E91" i="5"/>
  <c r="F91" i="5" s="1"/>
  <c r="AI45" i="5"/>
  <c r="AJ45" i="5" s="1"/>
  <c r="AH45" i="5"/>
  <c r="AG45" i="5"/>
  <c r="AI89" i="5"/>
  <c r="AJ89" i="5" s="1"/>
  <c r="AH89" i="5"/>
  <c r="AG89" i="5"/>
  <c r="AH84" i="5"/>
  <c r="AG84" i="5"/>
  <c r="AI84" i="5"/>
  <c r="AJ84" i="5" s="1"/>
  <c r="AI87" i="5"/>
  <c r="AJ87" i="5" s="1"/>
  <c r="AH87" i="5"/>
  <c r="AG87" i="5"/>
  <c r="AD87" i="5"/>
  <c r="AD89" i="5"/>
  <c r="E54" i="5"/>
  <c r="F54" i="5" s="1"/>
  <c r="AD84" i="5"/>
  <c r="AC81" i="5"/>
  <c r="AD81" i="5" s="1"/>
  <c r="AC27" i="5"/>
  <c r="AD27" i="5" s="1"/>
  <c r="AC17" i="5"/>
  <c r="AD17" i="5" s="1"/>
  <c r="AC74" i="5"/>
  <c r="AD74" i="5" s="1"/>
  <c r="AC79" i="5"/>
  <c r="AD79" i="5" s="1"/>
  <c r="AC77" i="5"/>
  <c r="AD77" i="5" s="1"/>
  <c r="AC12" i="5"/>
  <c r="E12" i="5" s="1"/>
  <c r="F12" i="5" s="1"/>
  <c r="AC64" i="5"/>
  <c r="E64" i="5" s="1"/>
  <c r="F64" i="5" s="1"/>
  <c r="AD43" i="5"/>
  <c r="E43" i="5"/>
  <c r="F43" i="5" s="1"/>
  <c r="AC33" i="5"/>
  <c r="E33" i="5" s="1"/>
  <c r="F33" i="5" s="1"/>
  <c r="AC25" i="5"/>
  <c r="AD25" i="5" s="1"/>
  <c r="AC52" i="5"/>
  <c r="AD52" i="5" s="1"/>
  <c r="AC30" i="5"/>
  <c r="E30" i="5" s="1"/>
  <c r="E85" i="5"/>
  <c r="F85" i="5" s="1"/>
  <c r="AC16" i="5"/>
  <c r="E16" i="5" s="1"/>
  <c r="F16" i="5" s="1"/>
  <c r="AC9" i="5"/>
  <c r="E9" i="5" s="1"/>
  <c r="F9" i="5" s="1"/>
  <c r="AC48" i="5"/>
  <c r="AD48" i="5" s="1"/>
  <c r="AC78" i="5"/>
  <c r="E78" i="5" s="1"/>
  <c r="F78" i="5" s="1"/>
  <c r="AD62" i="5"/>
  <c r="E62" i="5"/>
  <c r="F62" i="5" s="1"/>
  <c r="AC93" i="5"/>
  <c r="AD93" i="5" s="1"/>
  <c r="AC80" i="5"/>
  <c r="AD80" i="5" s="1"/>
  <c r="AC10" i="5"/>
  <c r="AD10" i="5" s="1"/>
  <c r="AC69" i="5"/>
  <c r="AD69" i="5" s="1"/>
  <c r="E49" i="5"/>
  <c r="F49" i="5" s="1"/>
  <c r="AD49" i="5"/>
  <c r="AC71" i="5"/>
  <c r="AD71" i="5" s="1"/>
  <c r="AC6" i="5"/>
  <c r="E6" i="5" s="1"/>
  <c r="AC50" i="5"/>
  <c r="E50" i="5" s="1"/>
  <c r="F50" i="5" s="1"/>
  <c r="AC66" i="5"/>
  <c r="AD66" i="5" s="1"/>
  <c r="AC7" i="5"/>
  <c r="E7" i="5" s="1"/>
  <c r="F7" i="5" s="1"/>
  <c r="AC5" i="5"/>
  <c r="AD5" i="5" s="1"/>
  <c r="AC65" i="5"/>
  <c r="E65" i="5" s="1"/>
  <c r="F65" i="5" s="1"/>
  <c r="AC73" i="5"/>
  <c r="E73" i="5" s="1"/>
  <c r="F73" i="5" s="1"/>
  <c r="AC29" i="5"/>
  <c r="AD29" i="5" s="1"/>
  <c r="AC20" i="5"/>
  <c r="AD20" i="5" s="1"/>
  <c r="AC24" i="5"/>
  <c r="E24" i="5" s="1"/>
  <c r="F24" i="5" s="1"/>
  <c r="AC82" i="5"/>
  <c r="E82" i="5" s="1"/>
  <c r="F82" i="5" s="1"/>
  <c r="AC4" i="5"/>
  <c r="AD4" i="5" s="1"/>
  <c r="AF4" i="5"/>
  <c r="AD38" i="5"/>
  <c r="E38" i="5"/>
  <c r="F38" i="5" s="1"/>
  <c r="AC72" i="5"/>
  <c r="E72" i="5" s="1"/>
  <c r="F72" i="5" s="1"/>
  <c r="AC18" i="5"/>
  <c r="E18" i="5" s="1"/>
  <c r="F18" i="5" s="1"/>
  <c r="E86" i="5"/>
  <c r="F86" i="5" s="1"/>
  <c r="AC8" i="5"/>
  <c r="AD8" i="5" s="1"/>
  <c r="AC75" i="5"/>
  <c r="E75" i="5" s="1"/>
  <c r="F75" i="5" s="1"/>
  <c r="AC70" i="5"/>
  <c r="E70" i="5" s="1"/>
  <c r="F70" i="5" s="1"/>
  <c r="AC22" i="5"/>
  <c r="E22" i="5" s="1"/>
  <c r="F22" i="5" s="1"/>
  <c r="AD55" i="5"/>
  <c r="E55" i="5"/>
  <c r="F55" i="5" s="1"/>
  <c r="AD58" i="5"/>
  <c r="E58" i="5"/>
  <c r="F58" i="5" s="1"/>
  <c r="AC19" i="5"/>
  <c r="AD19" i="5" s="1"/>
  <c r="AC23" i="5"/>
  <c r="E23" i="5" s="1"/>
  <c r="F23" i="5" s="1"/>
  <c r="AC34" i="5"/>
  <c r="AD34" i="5" s="1"/>
  <c r="AC68" i="5"/>
  <c r="E68" i="5" s="1"/>
  <c r="F68" i="5" s="1"/>
  <c r="AC76" i="5"/>
  <c r="AD76" i="5" s="1"/>
  <c r="AC11" i="5"/>
  <c r="AD11" i="5" s="1"/>
  <c r="AC14" i="5"/>
  <c r="AD14" i="5" s="1"/>
  <c r="AC28" i="5"/>
  <c r="AD28" i="5" s="1"/>
  <c r="AC63" i="5"/>
  <c r="AD63" i="5" s="1"/>
  <c r="AC67" i="5"/>
  <c r="E67" i="5" s="1"/>
  <c r="F67" i="5" s="1"/>
  <c r="AC15" i="5"/>
  <c r="AD15" i="5" s="1"/>
  <c r="AC32" i="5"/>
  <c r="AD32" i="5" s="1"/>
  <c r="AC26" i="5"/>
  <c r="E26" i="5" s="1"/>
  <c r="F26" i="5" s="1"/>
  <c r="AC47" i="5"/>
  <c r="E47" i="5" s="1"/>
  <c r="F47" i="5" s="1"/>
  <c r="AD57" i="5"/>
  <c r="E57" i="5"/>
  <c r="F57" i="5" s="1"/>
  <c r="AD42" i="5"/>
  <c r="E42" i="5"/>
  <c r="F42" i="5" s="1"/>
  <c r="AC13" i="5"/>
  <c r="AD13" i="5" s="1"/>
  <c r="AC46" i="5"/>
  <c r="AD46" i="5" s="1"/>
  <c r="AC92" i="5"/>
  <c r="E92" i="5" s="1"/>
  <c r="F92" i="5" s="1"/>
  <c r="AC31" i="5"/>
  <c r="E31" i="5" s="1"/>
  <c r="F31" i="5" s="1"/>
  <c r="AC53" i="5"/>
  <c r="E53" i="5" s="1"/>
  <c r="F53" i="5" s="1"/>
  <c r="E41" i="5"/>
  <c r="F41" i="5" s="1"/>
  <c r="AD41" i="5"/>
  <c r="E40" i="5"/>
  <c r="F40" i="5" s="1"/>
  <c r="AD40" i="5"/>
  <c r="AD59" i="5"/>
  <c r="E59" i="5"/>
  <c r="AC21" i="5"/>
  <c r="AD21" i="5" s="1"/>
  <c r="AD51" i="5"/>
  <c r="E51" i="5"/>
  <c r="F51" i="5" s="1"/>
  <c r="E27" i="5"/>
  <c r="F27" i="5" s="1"/>
  <c r="AD9" i="5"/>
  <c r="F6" i="5" l="1"/>
  <c r="C18" i="6"/>
  <c r="E18" i="6" s="1"/>
  <c r="E35" i="5"/>
  <c r="F35" i="5" s="1"/>
  <c r="F30" i="5"/>
  <c r="C4" i="6"/>
  <c r="E44" i="5"/>
  <c r="F44" i="5" s="1"/>
  <c r="E90" i="5"/>
  <c r="F90" i="5" s="1"/>
  <c r="AH90" i="5" s="1"/>
  <c r="AD6" i="5"/>
  <c r="E52" i="5"/>
  <c r="F52" i="5" s="1"/>
  <c r="AG52" i="5" s="1"/>
  <c r="AD53" i="5"/>
  <c r="AD12" i="5"/>
  <c r="AD18" i="5"/>
  <c r="E13" i="5"/>
  <c r="F13" i="5" s="1"/>
  <c r="AG13" i="5" s="1"/>
  <c r="E69" i="5"/>
  <c r="F69" i="5" s="1"/>
  <c r="AI69" i="5" s="1"/>
  <c r="AJ69" i="5" s="1"/>
  <c r="AI36" i="5"/>
  <c r="AJ36" i="5" s="1"/>
  <c r="E17" i="5"/>
  <c r="F17" i="5" s="1"/>
  <c r="AH17" i="5" s="1"/>
  <c r="AG36" i="5"/>
  <c r="AD16" i="5"/>
  <c r="AD31" i="5"/>
  <c r="AG56" i="5"/>
  <c r="AD7" i="5"/>
  <c r="AD70" i="5"/>
  <c r="E5" i="5"/>
  <c r="F5" i="5" s="1"/>
  <c r="AI5" i="5" s="1"/>
  <c r="AJ5" i="5" s="1"/>
  <c r="AD68" i="5"/>
  <c r="AD75" i="5"/>
  <c r="AD72" i="5"/>
  <c r="AD30" i="5"/>
  <c r="E74" i="5"/>
  <c r="F74" i="5" s="1"/>
  <c r="AI74" i="5" s="1"/>
  <c r="AJ74" i="5" s="1"/>
  <c r="AD22" i="5"/>
  <c r="E48" i="5"/>
  <c r="F48" i="5" s="1"/>
  <c r="AG48" i="5" s="1"/>
  <c r="E77" i="5"/>
  <c r="F77" i="5" s="1"/>
  <c r="AH77" i="5" s="1"/>
  <c r="AD26" i="5"/>
  <c r="E11" i="5"/>
  <c r="F11" i="5" s="1"/>
  <c r="AH11" i="5" s="1"/>
  <c r="E25" i="5"/>
  <c r="F25" i="5" s="1"/>
  <c r="AI25" i="5" s="1"/>
  <c r="AJ25" i="5" s="1"/>
  <c r="E61" i="5"/>
  <c r="F61" i="5" s="1"/>
  <c r="AH61" i="5" s="1"/>
  <c r="AD65" i="5"/>
  <c r="AH56" i="5"/>
  <c r="AD50" i="5"/>
  <c r="E34" i="5"/>
  <c r="F34" i="5" s="1"/>
  <c r="AH34" i="5" s="1"/>
  <c r="E29" i="5"/>
  <c r="E19" i="5"/>
  <c r="F19" i="5" s="1"/>
  <c r="AG19" i="5" s="1"/>
  <c r="E8" i="5"/>
  <c r="F8" i="5" s="1"/>
  <c r="AG8" i="5" s="1"/>
  <c r="E93" i="5"/>
  <c r="F93" i="5" s="1"/>
  <c r="AH93" i="5" s="1"/>
  <c r="E81" i="5"/>
  <c r="F81" i="5" s="1"/>
  <c r="AG81" i="5" s="1"/>
  <c r="E63" i="5"/>
  <c r="F63" i="5" s="1"/>
  <c r="AI63" i="5" s="1"/>
  <c r="AJ63" i="5" s="1"/>
  <c r="AD82" i="5"/>
  <c r="AD24" i="5"/>
  <c r="AD64" i="5"/>
  <c r="AI73" i="5"/>
  <c r="AJ73" i="5" s="1"/>
  <c r="AH73" i="5"/>
  <c r="AG73" i="5"/>
  <c r="AG70" i="5"/>
  <c r="AI70" i="5"/>
  <c r="AJ70" i="5" s="1"/>
  <c r="AH70" i="5"/>
  <c r="AI90" i="5"/>
  <c r="AJ90" i="5" s="1"/>
  <c r="E76" i="5"/>
  <c r="F76" i="5" s="1"/>
  <c r="AI27" i="5"/>
  <c r="AJ27" i="5" s="1"/>
  <c r="AH27" i="5"/>
  <c r="AG27" i="5"/>
  <c r="AH68" i="5"/>
  <c r="AG68" i="5"/>
  <c r="AI68" i="5"/>
  <c r="AJ68" i="5" s="1"/>
  <c r="AH22" i="5"/>
  <c r="AG22" i="5"/>
  <c r="AI22" i="5"/>
  <c r="AJ22" i="5" s="1"/>
  <c r="AG65" i="5"/>
  <c r="AI65" i="5"/>
  <c r="AJ65" i="5" s="1"/>
  <c r="AH65" i="5"/>
  <c r="AI49" i="5"/>
  <c r="AJ49" i="5" s="1"/>
  <c r="AH49" i="5"/>
  <c r="AG49" i="5"/>
  <c r="AI43" i="5"/>
  <c r="AJ43" i="5" s="1"/>
  <c r="AH43" i="5"/>
  <c r="AG43" i="5"/>
  <c r="AD73" i="5"/>
  <c r="AI52" i="5"/>
  <c r="AJ52" i="5" s="1"/>
  <c r="AH52" i="5"/>
  <c r="E79" i="5"/>
  <c r="F79" i="5" s="1"/>
  <c r="AI40" i="5"/>
  <c r="AJ40" i="5" s="1"/>
  <c r="AH40" i="5"/>
  <c r="AG40" i="5"/>
  <c r="AI42" i="5"/>
  <c r="AJ42" i="5" s="1"/>
  <c r="AH42" i="5"/>
  <c r="AG42" i="5"/>
  <c r="AD33" i="5"/>
  <c r="AI67" i="5"/>
  <c r="AJ67" i="5" s="1"/>
  <c r="AH67" i="5"/>
  <c r="AG67" i="5"/>
  <c r="AI23" i="5"/>
  <c r="AJ23" i="5" s="1"/>
  <c r="AH23" i="5"/>
  <c r="AG23" i="5"/>
  <c r="AI75" i="5"/>
  <c r="AJ75" i="5" s="1"/>
  <c r="AH75" i="5"/>
  <c r="AG75" i="5"/>
  <c r="AI7" i="5"/>
  <c r="AJ7" i="5" s="1"/>
  <c r="AH7" i="5"/>
  <c r="AG7" i="5"/>
  <c r="AG35" i="5"/>
  <c r="AI35" i="5"/>
  <c r="AJ35" i="5" s="1"/>
  <c r="AH35" i="5"/>
  <c r="AI83" i="5"/>
  <c r="AJ83" i="5" s="1"/>
  <c r="AH83" i="5"/>
  <c r="AG83" i="5"/>
  <c r="AI12" i="5"/>
  <c r="AJ12" i="5" s="1"/>
  <c r="AH12" i="5"/>
  <c r="AG12" i="5"/>
  <c r="AH69" i="5"/>
  <c r="AI82" i="5"/>
  <c r="AJ82" i="5" s="1"/>
  <c r="AH82" i="5"/>
  <c r="AG82" i="5"/>
  <c r="AD78" i="5"/>
  <c r="AI51" i="5"/>
  <c r="AJ51" i="5" s="1"/>
  <c r="AH51" i="5"/>
  <c r="AG51" i="5"/>
  <c r="AI41" i="5"/>
  <c r="AJ41" i="5" s="1"/>
  <c r="AH41" i="5"/>
  <c r="AG41" i="5"/>
  <c r="AI57" i="5"/>
  <c r="AJ57" i="5" s="1"/>
  <c r="AH57" i="5"/>
  <c r="AG57" i="5"/>
  <c r="AI85" i="5"/>
  <c r="AJ85" i="5" s="1"/>
  <c r="AH85" i="5"/>
  <c r="AG85" i="5"/>
  <c r="AI91" i="5"/>
  <c r="AJ91" i="5" s="1"/>
  <c r="AH91" i="5"/>
  <c r="AG91" i="5"/>
  <c r="AH53" i="5"/>
  <c r="AG53" i="5"/>
  <c r="AI53" i="5"/>
  <c r="AJ53" i="5" s="1"/>
  <c r="AI58" i="5"/>
  <c r="AJ58" i="5" s="1"/>
  <c r="AH58" i="5"/>
  <c r="AG58" i="5"/>
  <c r="AG86" i="5"/>
  <c r="AI86" i="5"/>
  <c r="AJ86" i="5" s="1"/>
  <c r="AH86" i="5"/>
  <c r="AH24" i="5"/>
  <c r="AG24" i="5"/>
  <c r="AI24" i="5"/>
  <c r="AJ24" i="5" s="1"/>
  <c r="AI50" i="5"/>
  <c r="AJ50" i="5" s="1"/>
  <c r="AH50" i="5"/>
  <c r="AG50" i="5"/>
  <c r="AI30" i="5"/>
  <c r="AJ30" i="5" s="1"/>
  <c r="AH30" i="5"/>
  <c r="AG30" i="5"/>
  <c r="AI64" i="5"/>
  <c r="AJ64" i="5" s="1"/>
  <c r="AH64" i="5"/>
  <c r="AG64" i="5"/>
  <c r="AI33" i="5"/>
  <c r="AJ33" i="5" s="1"/>
  <c r="AH33" i="5"/>
  <c r="AG33" i="5"/>
  <c r="E32" i="5"/>
  <c r="F32" i="5" s="1"/>
  <c r="AG93" i="5"/>
  <c r="AI93" i="5"/>
  <c r="AJ93" i="5" s="1"/>
  <c r="E66" i="5"/>
  <c r="F66" i="5" s="1"/>
  <c r="AI31" i="5"/>
  <c r="AJ31" i="5" s="1"/>
  <c r="AH31" i="5"/>
  <c r="AG31" i="5"/>
  <c r="AI47" i="5"/>
  <c r="AJ47" i="5" s="1"/>
  <c r="AH47" i="5"/>
  <c r="AG47" i="5"/>
  <c r="AI18" i="5"/>
  <c r="AJ18" i="5" s="1"/>
  <c r="AH18" i="5"/>
  <c r="AG18" i="5"/>
  <c r="AI6" i="5"/>
  <c r="AJ6" i="5" s="1"/>
  <c r="AH6" i="5"/>
  <c r="AG6" i="5"/>
  <c r="AI62" i="5"/>
  <c r="AJ62" i="5" s="1"/>
  <c r="AH62" i="5"/>
  <c r="AG62" i="5"/>
  <c r="AI54" i="5"/>
  <c r="AJ54" i="5" s="1"/>
  <c r="AH54" i="5"/>
  <c r="AG54" i="5"/>
  <c r="AG72" i="5"/>
  <c r="AI72" i="5"/>
  <c r="AJ72" i="5" s="1"/>
  <c r="AH72" i="5"/>
  <c r="AI38" i="5"/>
  <c r="AJ38" i="5" s="1"/>
  <c r="AH38" i="5"/>
  <c r="AG38" i="5"/>
  <c r="AI78" i="5"/>
  <c r="AJ78" i="5" s="1"/>
  <c r="AH78" i="5"/>
  <c r="AG78" i="5"/>
  <c r="AI9" i="5"/>
  <c r="AJ9" i="5" s="1"/>
  <c r="AH9" i="5"/>
  <c r="AG9" i="5"/>
  <c r="AI16" i="5"/>
  <c r="AJ16" i="5" s="1"/>
  <c r="AH16" i="5"/>
  <c r="AG16" i="5"/>
  <c r="AI92" i="5"/>
  <c r="AJ92" i="5" s="1"/>
  <c r="AH92" i="5"/>
  <c r="AG92" i="5"/>
  <c r="AG26" i="5"/>
  <c r="AI26" i="5"/>
  <c r="AJ26" i="5" s="1"/>
  <c r="AH26" i="5"/>
  <c r="AI94" i="5"/>
  <c r="AJ94" i="5" s="1"/>
  <c r="AH94" i="5"/>
  <c r="AG94" i="5"/>
  <c r="AI55" i="5"/>
  <c r="AJ55" i="5" s="1"/>
  <c r="AH55" i="5"/>
  <c r="AG55" i="5"/>
  <c r="E4" i="5"/>
  <c r="F4" i="5" s="1"/>
  <c r="AG4" i="5" s="1"/>
  <c r="E71" i="5"/>
  <c r="E10" i="5"/>
  <c r="F10" i="5" s="1"/>
  <c r="E21" i="5"/>
  <c r="F21" i="5" s="1"/>
  <c r="E80" i="5"/>
  <c r="F80" i="5" s="1"/>
  <c r="E20" i="5"/>
  <c r="F20" i="5" s="1"/>
  <c r="E15" i="5"/>
  <c r="F15" i="5" s="1"/>
  <c r="AD23" i="5"/>
  <c r="E46" i="5"/>
  <c r="F46" i="5" s="1"/>
  <c r="E14" i="5"/>
  <c r="F14" i="5" s="1"/>
  <c r="AD92" i="5"/>
  <c r="E28" i="5"/>
  <c r="F28" i="5" s="1"/>
  <c r="AD67" i="5"/>
  <c r="AD47" i="5"/>
  <c r="C60" i="5"/>
  <c r="U60" i="5" s="1"/>
  <c r="AA60" i="5" s="1"/>
  <c r="AB60" i="5" s="1"/>
  <c r="AF60" i="5" s="1"/>
  <c r="F59" i="5"/>
  <c r="AI44" i="5" l="1"/>
  <c r="AJ44" i="5" s="1"/>
  <c r="AG44" i="5"/>
  <c r="F71" i="5"/>
  <c r="C20" i="6"/>
  <c r="E20" i="6" s="1"/>
  <c r="AG90" i="5"/>
  <c r="F29" i="5"/>
  <c r="AG29" i="5" s="1"/>
  <c r="C17" i="6"/>
  <c r="E17" i="6" s="1"/>
  <c r="AH44" i="5"/>
  <c r="AG63" i="5"/>
  <c r="AH5" i="5"/>
  <c r="AI17" i="5"/>
  <c r="AJ17" i="5" s="1"/>
  <c r="AG17" i="5"/>
  <c r="AH13" i="5"/>
  <c r="AI13" i="5"/>
  <c r="AJ13" i="5" s="1"/>
  <c r="AI61" i="5"/>
  <c r="AJ61" i="5" s="1"/>
  <c r="AI11" i="5"/>
  <c r="AJ11" i="5" s="1"/>
  <c r="AG11" i="5"/>
  <c r="AH19" i="5"/>
  <c r="AG69" i="5"/>
  <c r="AI19" i="5"/>
  <c r="AJ19" i="5" s="1"/>
  <c r="AI29" i="5"/>
  <c r="AJ29" i="5" s="1"/>
  <c r="AG74" i="5"/>
  <c r="AG25" i="5"/>
  <c r="AG5" i="5"/>
  <c r="AH25" i="5"/>
  <c r="AI34" i="5"/>
  <c r="AJ34" i="5" s="1"/>
  <c r="AI77" i="5"/>
  <c r="AJ77" i="5" s="1"/>
  <c r="AH8" i="5"/>
  <c r="AH81" i="5"/>
  <c r="AH74" i="5"/>
  <c r="AI81" i="5"/>
  <c r="AJ81" i="5" s="1"/>
  <c r="AI8" i="5"/>
  <c r="AJ8" i="5" s="1"/>
  <c r="AH63" i="5"/>
  <c r="AG34" i="5"/>
  <c r="AG77" i="5"/>
  <c r="AH48" i="5"/>
  <c r="AG61" i="5"/>
  <c r="AI48" i="5"/>
  <c r="AJ48" i="5" s="1"/>
  <c r="AH20" i="5"/>
  <c r="AG20" i="5"/>
  <c r="AI20" i="5"/>
  <c r="AJ20" i="5" s="1"/>
  <c r="AI32" i="5"/>
  <c r="AJ32" i="5" s="1"/>
  <c r="AH32" i="5"/>
  <c r="AG32" i="5"/>
  <c r="AI80" i="5"/>
  <c r="AJ80" i="5" s="1"/>
  <c r="AH80" i="5"/>
  <c r="AG80" i="5"/>
  <c r="AI66" i="5"/>
  <c r="AJ66" i="5" s="1"/>
  <c r="AH66" i="5"/>
  <c r="AG66" i="5"/>
  <c r="AG15" i="5"/>
  <c r="AI15" i="5"/>
  <c r="AJ15" i="5" s="1"/>
  <c r="AH15" i="5"/>
  <c r="AI28" i="5"/>
  <c r="AJ28" i="5" s="1"/>
  <c r="AH28" i="5"/>
  <c r="AG28" i="5"/>
  <c r="AI21" i="5"/>
  <c r="AJ21" i="5" s="1"/>
  <c r="AH21" i="5"/>
  <c r="AG21" i="5"/>
  <c r="AI10" i="5"/>
  <c r="AJ10" i="5" s="1"/>
  <c r="AH10" i="5"/>
  <c r="AG10" i="5"/>
  <c r="AG79" i="5"/>
  <c r="AI79" i="5"/>
  <c r="AJ79" i="5" s="1"/>
  <c r="AH79" i="5"/>
  <c r="AI76" i="5"/>
  <c r="AJ76" i="5" s="1"/>
  <c r="AH76" i="5"/>
  <c r="AG76" i="5"/>
  <c r="AI14" i="5"/>
  <c r="AJ14" i="5" s="1"/>
  <c r="AH14" i="5"/>
  <c r="AG14" i="5"/>
  <c r="AG46" i="5"/>
  <c r="AI46" i="5"/>
  <c r="AJ46" i="5" s="1"/>
  <c r="AH46" i="5"/>
  <c r="AI71" i="5"/>
  <c r="AJ71" i="5" s="1"/>
  <c r="AH71" i="5"/>
  <c r="AG71" i="5"/>
  <c r="AI59" i="5"/>
  <c r="AJ59" i="5" s="1"/>
  <c r="AH59" i="5"/>
  <c r="AG59" i="5"/>
  <c r="AH4" i="5"/>
  <c r="AI4" i="5"/>
  <c r="AJ4" i="5" s="1"/>
  <c r="AC60" i="5"/>
  <c r="E4" i="6"/>
  <c r="E13" i="6" s="1"/>
  <c r="E14" i="6" s="1"/>
  <c r="E26" i="6" l="1"/>
  <c r="E27" i="6" s="1"/>
  <c r="C16" i="6" s="1"/>
  <c r="AH29" i="5"/>
  <c r="AD60" i="5"/>
  <c r="E60" i="5"/>
  <c r="F60" i="5" s="1"/>
  <c r="C3" i="6"/>
  <c r="AI60" i="5" l="1"/>
  <c r="AJ60" i="5" s="1"/>
  <c r="AH60" i="5"/>
  <c r="AG60" i="5"/>
  <c r="AD146" i="5" l="1"/>
  <c r="AD144" i="5"/>
  <c r="AD145" i="5"/>
</calcChain>
</file>

<file path=xl/sharedStrings.xml><?xml version="1.0" encoding="utf-8"?>
<sst xmlns="http://schemas.openxmlformats.org/spreadsheetml/2006/main" count="329" uniqueCount="234">
  <si>
    <t>Margaritas</t>
  </si>
  <si>
    <t>Rosa</t>
  </si>
  <si>
    <t>Estrella</t>
  </si>
  <si>
    <t>Pino chico</t>
  </si>
  <si>
    <t>Pino grande</t>
  </si>
  <si>
    <t>Sagrada Familia</t>
  </si>
  <si>
    <t>Cera alto pf</t>
  </si>
  <si>
    <t>Cera bajo pf</t>
  </si>
  <si>
    <t>Colorante</t>
  </si>
  <si>
    <t>Escencia</t>
  </si>
  <si>
    <t>Aceite de Coco</t>
  </si>
  <si>
    <t>Mano de obra</t>
  </si>
  <si>
    <t>Flor Loto</t>
  </si>
  <si>
    <t>Velon Mediano</t>
  </si>
  <si>
    <t>Velon Pequeño</t>
  </si>
  <si>
    <t>Subtotal</t>
  </si>
  <si>
    <t>Caja exagonal</t>
  </si>
  <si>
    <t>Bolsa gruesa</t>
  </si>
  <si>
    <t>Vaso grande vidrio</t>
  </si>
  <si>
    <t>Vaso Chico vidrio</t>
  </si>
  <si>
    <t>Bandeja oval grande</t>
  </si>
  <si>
    <t>Yeso</t>
  </si>
  <si>
    <t>Bandeja oval mediana</t>
  </si>
  <si>
    <t>Alhajero</t>
  </si>
  <si>
    <t>Tapa Alhajero</t>
  </si>
  <si>
    <t>Vela Alhajero</t>
  </si>
  <si>
    <t>Buda</t>
  </si>
  <si>
    <t>Corazon Rosa</t>
  </si>
  <si>
    <t>Corazon texturizado Grande</t>
  </si>
  <si>
    <t>Oso</t>
  </si>
  <si>
    <t>Flor Peiona Mediana</t>
  </si>
  <si>
    <t>Flor Peiona x 3</t>
  </si>
  <si>
    <t>Flor Tulipan</t>
  </si>
  <si>
    <t>Corazon texturizado Chico</t>
  </si>
  <si>
    <t>CODIGO</t>
  </si>
  <si>
    <t>Mini Cajas</t>
  </si>
  <si>
    <t>Cono</t>
  </si>
  <si>
    <t>Bolsa plastico 15X20</t>
  </si>
  <si>
    <t>Bandeja yeso con borde</t>
  </si>
  <si>
    <t>Alhajero de yeso</t>
  </si>
  <si>
    <t>Piscina de yeso</t>
  </si>
  <si>
    <t>Tul</t>
  </si>
  <si>
    <t>Bolsa organza 25x30</t>
  </si>
  <si>
    <t>Bolsa organza 15x20</t>
  </si>
  <si>
    <t>Flor peiona individual</t>
  </si>
  <si>
    <t>Bolsa celofan 10x20</t>
  </si>
  <si>
    <t>Flores decoracion</t>
  </si>
  <si>
    <t>Portavela vidrio</t>
  </si>
  <si>
    <t>Conejo</t>
  </si>
  <si>
    <t>Cuenco ceramico chico</t>
  </si>
  <si>
    <t>Cuenco ceramico mediano</t>
  </si>
  <si>
    <t>Cuenco estrella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</si>
  <si>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</si>
  <si>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</si>
  <si>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</si>
  <si>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</si>
  <si>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</si>
  <si>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</si>
  <si>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</si>
  <si>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</si>
  <si>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</si>
  <si>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</si>
  <si>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</si>
  <si>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</si>
  <si>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</si>
  <si>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</si>
  <si>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</si>
  <si>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</si>
  <si>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</si>
  <si>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</si>
  <si>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</si>
  <si>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VELAS</t>
  </si>
  <si>
    <t>MATERIALES</t>
  </si>
  <si>
    <t>RECIPIENTES</t>
  </si>
  <si>
    <t>MANO DE OBRA</t>
  </si>
  <si>
    <t>EMPAQUE</t>
  </si>
  <si>
    <t>Caja con visor corazon</t>
  </si>
  <si>
    <t>ACCESORIOS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</si>
  <si>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</si>
  <si>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</si>
  <si>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</si>
  <si>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</si>
  <si>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</si>
  <si>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</si>
  <si>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</si>
  <si>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</si>
  <si>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</si>
  <si>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</si>
  <si>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</si>
  <si>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</si>
  <si>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</si>
  <si>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</si>
  <si>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</si>
  <si>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</si>
  <si>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</si>
  <si>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</si>
  <si>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</si>
  <si>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</si>
  <si>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</si>
  <si>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</si>
  <si>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</si>
  <si>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</si>
  <si>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</si>
  <si>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A1</t>
  </si>
  <si>
    <t>A2</t>
  </si>
  <si>
    <t>M1</t>
  </si>
  <si>
    <t>M2</t>
  </si>
  <si>
    <t>M3</t>
  </si>
  <si>
    <t>M4</t>
  </si>
  <si>
    <t>M5</t>
  </si>
  <si>
    <t>M6</t>
  </si>
  <si>
    <t>M7</t>
  </si>
  <si>
    <t>MO</t>
  </si>
  <si>
    <t>COSTO</t>
  </si>
  <si>
    <t>PRECIO</t>
  </si>
  <si>
    <t>Bandeja exagonal</t>
  </si>
  <si>
    <t>R17</t>
  </si>
  <si>
    <t>R18</t>
  </si>
  <si>
    <t>Bandeja exagonal cera</t>
  </si>
  <si>
    <t>R19</t>
  </si>
  <si>
    <t>Bandeja oval mediana cera</t>
  </si>
  <si>
    <t>R20</t>
  </si>
  <si>
    <t>Bandeja corazon</t>
  </si>
  <si>
    <t>COMBO 18</t>
  </si>
  <si>
    <t>COMBO 19</t>
  </si>
  <si>
    <t>COMBO 20</t>
  </si>
  <si>
    <t>Vaso Chico vela</t>
  </si>
  <si>
    <t>Caramelera chica con tapa</t>
  </si>
  <si>
    <t>R21</t>
  </si>
  <si>
    <t>M8</t>
  </si>
  <si>
    <t>Barniz al agua</t>
  </si>
  <si>
    <t>Angel grande</t>
  </si>
  <si>
    <t>Angel chico</t>
  </si>
  <si>
    <t>V20</t>
  </si>
  <si>
    <t>V21</t>
  </si>
  <si>
    <t>Cinta</t>
  </si>
  <si>
    <t>A3</t>
  </si>
  <si>
    <t>Tarjeta decoracion</t>
  </si>
  <si>
    <t>A4</t>
  </si>
  <si>
    <t>Tarjeta presentacion</t>
  </si>
  <si>
    <t>Frasco vidrio corazon</t>
  </si>
  <si>
    <t>R22</t>
  </si>
  <si>
    <t>R23</t>
  </si>
  <si>
    <t>R24</t>
  </si>
  <si>
    <t>R25</t>
  </si>
  <si>
    <t>R26</t>
  </si>
  <si>
    <t>Frasco vidrio 1</t>
  </si>
  <si>
    <t>Frasco vidrio 2</t>
  </si>
  <si>
    <t>Frasco vidrio 3</t>
  </si>
  <si>
    <t>Rosa grande</t>
  </si>
  <si>
    <t>V22</t>
  </si>
  <si>
    <t>Cuenco yeso 1</t>
  </si>
  <si>
    <t>R27</t>
  </si>
  <si>
    <t>R28</t>
  </si>
  <si>
    <t>R29</t>
  </si>
  <si>
    <t>R30</t>
  </si>
  <si>
    <t>R31</t>
  </si>
  <si>
    <t>R32</t>
  </si>
  <si>
    <t>Caramelera mini</t>
  </si>
  <si>
    <t>Base de vidrio flor</t>
  </si>
  <si>
    <t>E10</t>
  </si>
  <si>
    <t>Bolsa organza 9x12</t>
  </si>
  <si>
    <t>R33</t>
  </si>
  <si>
    <t>R34</t>
  </si>
  <si>
    <t>vela aromatica</t>
  </si>
  <si>
    <t>cuenco yeso flor</t>
  </si>
  <si>
    <t>bombonera vidrio yesink</t>
  </si>
  <si>
    <t>Pabilo</t>
  </si>
  <si>
    <t>Cuenco ceramico negro 7 cm</t>
  </si>
  <si>
    <t>Vaso vidrio Tijuana</t>
  </si>
  <si>
    <t>R35</t>
  </si>
  <si>
    <t>R36</t>
  </si>
  <si>
    <t>R37</t>
  </si>
  <si>
    <t>R38</t>
  </si>
  <si>
    <t>R39</t>
  </si>
  <si>
    <t>R40</t>
  </si>
  <si>
    <t>R41</t>
  </si>
  <si>
    <t>R42</t>
  </si>
  <si>
    <t>Bombonera vidrio yesink grande</t>
  </si>
  <si>
    <t>Caramelera labrada con tapa</t>
  </si>
  <si>
    <t>Vaso doble de vidrio</t>
  </si>
  <si>
    <t>Reposicion Cera BPF</t>
  </si>
  <si>
    <t>R150</t>
  </si>
  <si>
    <t>Reposicion 150 g 3 pavilos</t>
  </si>
  <si>
    <t>Bombonera vidrio piramidal</t>
  </si>
  <si>
    <t>Vaso Tennesse 80 g</t>
  </si>
  <si>
    <t>Ramo de flores</t>
  </si>
  <si>
    <t>V23</t>
  </si>
  <si>
    <t>V24</t>
  </si>
  <si>
    <t>V25</t>
  </si>
  <si>
    <t>Mariposa</t>
  </si>
  <si>
    <t>Vaso Tennesse 100 g</t>
  </si>
  <si>
    <t>Vaso grande labrado</t>
  </si>
  <si>
    <t>V26</t>
  </si>
  <si>
    <t>Virgencita</t>
  </si>
  <si>
    <t>Angel grande suvenir</t>
  </si>
  <si>
    <t>Angel chico suvenir</t>
  </si>
  <si>
    <t>V27</t>
  </si>
  <si>
    <t>V28</t>
  </si>
  <si>
    <t>E11</t>
  </si>
  <si>
    <t>Bolsa organza 9x12 comunion</t>
  </si>
  <si>
    <t>A5</t>
  </si>
  <si>
    <t>Dije Cruz Dorada</t>
  </si>
  <si>
    <t>R50</t>
  </si>
  <si>
    <t>Reposicion 60 g 1 pavilos</t>
  </si>
  <si>
    <t>Bombonera mini</t>
  </si>
  <si>
    <t>E12</t>
  </si>
  <si>
    <t>Bolsa organza 17x23</t>
  </si>
  <si>
    <t>V29</t>
  </si>
  <si>
    <t>Flor peiona individual eventos</t>
  </si>
  <si>
    <t>V30</t>
  </si>
  <si>
    <t>Flor peiona grande</t>
  </si>
  <si>
    <t>Reposicion 170 g 2 pavilos</t>
  </si>
  <si>
    <t>R170</t>
  </si>
  <si>
    <t>Vaso Tennesse 170 g</t>
  </si>
  <si>
    <t>V31</t>
  </si>
  <si>
    <t>Arcoiris</t>
  </si>
  <si>
    <t>ITEM</t>
  </si>
  <si>
    <t>UNIDAD</t>
  </si>
  <si>
    <t>COSTO UNIT.</t>
  </si>
  <si>
    <t>BENEFICIO</t>
  </si>
  <si>
    <t>Recipiente</t>
  </si>
  <si>
    <t>COSTO PROD.</t>
  </si>
  <si>
    <t>MO/Subtotal</t>
  </si>
  <si>
    <t>Precio/Subtotal</t>
  </si>
  <si>
    <t>Precio/Mat</t>
  </si>
  <si>
    <t>Materiales</t>
  </si>
  <si>
    <t>Beneficio</t>
  </si>
  <si>
    <t>Beneficio/Precio</t>
  </si>
  <si>
    <t>unid.</t>
  </si>
  <si>
    <t>gr</t>
  </si>
  <si>
    <t>ml</t>
  </si>
  <si>
    <t>kg</t>
  </si>
  <si>
    <t>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</si>
</sst>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_-;\-* #,##0.00_-;_-* &quot;-&quot;??_-;_-@_-"/>
    <numFmt numFmtId="164" formatCode="_-* #,##0_-;\-* #,##0_-;_-* &quot;-&quot;??_-;_-@_-"/>
    <numFmt numFmtId="165" formatCode="0.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2" borderId="0" applyNumberFormat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43" fontId="0" fillId="0" borderId="0" xfId="1" applyFont="1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2" borderId="0" xfId="2" applyAlignment="1">
      <alignment vertical="center"/>
    </xf>
    <xf numFmtId="43" fontId="0" fillId="0" borderId="0" xfId="1" applyFont="1" applyAlignment="1">
      <alignment vertical="center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vertical="center"/>
    </xf>
    <xf numFmtId="43" fontId="0" fillId="0" borderId="0" xfId="0" applyNumberFormat="1" applyAlignment="1">
      <alignment vertical="center"/>
    </xf>
    <xf numFmtId="43" fontId="0" fillId="4" borderId="0" xfId="1" applyFont="1" applyFill="1" applyAlignment="1">
      <alignment vertical="center"/>
    </xf>
    <xf numFmtId="164" fontId="0" fillId="0" borderId="0" xfId="1" applyNumberFormat="1" applyFont="1" applyAlignment="1">
      <alignment vertical="center"/>
    </xf>
    <xf numFmtId="0" fontId="0" fillId="5" borderId="0" xfId="0" applyFill="1" applyAlignment="1">
      <alignment vertical="center"/>
    </xf>
    <xf numFmtId="9" fontId="0" fillId="0" borderId="0" xfId="0" applyNumberFormat="1"/>
    <xf numFmtId="43" fontId="0" fillId="5" borderId="0" xfId="1" applyFont="1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/>
    <xf numFmtId="43" fontId="0" fillId="0" borderId="0" xfId="1" applyFont="1" applyFill="1"/>
    <xf numFmtId="165" fontId="0" fillId="0" borderId="0" xfId="0" applyNumberFormat="1" applyAlignment="1">
      <alignment vertical="center"/>
    </xf>
    <xf numFmtId="165" fontId="0" fillId="3" borderId="0" xfId="0" applyNumberFormat="1" applyFill="1" applyAlignment="1">
      <alignment vertical="center"/>
    </xf>
    <xf numFmtId="10" fontId="0" fillId="0" borderId="0" xfId="3" applyNumberFormat="1" applyFont="1" applyAlignment="1">
      <alignment vertical="center"/>
    </xf>
    <xf numFmtId="0" fontId="0" fillId="4" borderId="0" xfId="0" applyFill="1" applyAlignment="1">
      <alignment horizontal="right" vertical="center"/>
    </xf>
    <xf numFmtId="9" fontId="0" fillId="4" borderId="0" xfId="0" applyNumberFormat="1" applyFill="1" applyAlignment="1">
      <alignment vertical="center"/>
    </xf>
  </cellXfs>
  <cellStyles count="4">
    <cellStyle name="Incorrecto" xfId="2" builtinId="27"/>
    <cellStyle name="Millares" xfId="1" builtinId="3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1"/>
  <sheetViews>
    <sheetView tabSelected="1" workbookViewId="0">
      <selection activeCell="B20" sqref="B20"/>
    </sheetView>
  </sheetViews>
  <sheetFormatPr baseColWidth="10" defaultRowHeight="14.4" x14ac:dyDescent="0.3"/>
  <cols>
    <col min="1" max="1" width="14.21875" bestFit="1" customWidth="1"/>
    <col min="2" max="2" width="25.44140625" bestFit="1" customWidth="1"/>
    <col min="3" max="3" width="11.5546875" style="1"/>
    <col min="5" max="6" width="11.5546875" style="1"/>
  </cols>
  <sheetData>
    <row r="1" spans="1:13" x14ac:dyDescent="0.3">
      <c r="A1" s="20" t="s">
        <v>220</v>
      </c>
      <c r="B1" s="21">
        <v>0.35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3" spans="1:13" x14ac:dyDescent="0.3">
      <c r="A3" s="2" t="s">
        <v>72</v>
      </c>
      <c r="B3" s="2"/>
      <c r="C3" s="5"/>
      <c r="D3" s="2"/>
      <c r="E3" s="5"/>
      <c r="F3" s="13"/>
    </row>
    <row r="4" spans="1:13" x14ac:dyDescent="0.3">
      <c r="A4" s="2" t="s">
        <v>34</v>
      </c>
      <c r="B4" s="2" t="s">
        <v>217</v>
      </c>
      <c r="C4" s="5" t="s">
        <v>219</v>
      </c>
      <c r="D4" s="2" t="s">
        <v>218</v>
      </c>
      <c r="E4" s="5" t="s">
        <v>222</v>
      </c>
      <c r="F4" s="13" t="s">
        <v>114</v>
      </c>
    </row>
    <row r="5" spans="1:13" x14ac:dyDescent="0.3">
      <c r="A5" s="6" t="s">
        <v>105</v>
      </c>
      <c r="B5" s="2" t="s">
        <v>6</v>
      </c>
      <c r="C5" s="9">
        <f>3905*2/1000</f>
        <v>7.81</v>
      </c>
      <c r="D5" s="2" t="s">
        <v>230</v>
      </c>
      <c r="E5" s="5">
        <f t="shared" ref="E5:E12" si="0">C5</f>
        <v>7.81</v>
      </c>
      <c r="F5" s="13">
        <f>E5*(1+'Materia prima'!$B$1)</f>
        <v>10.5435</v>
      </c>
      <c r="I5" s="12"/>
    </row>
    <row r="6" spans="1:13" x14ac:dyDescent="0.3">
      <c r="A6" s="6" t="s">
        <v>106</v>
      </c>
      <c r="B6" s="2" t="s">
        <v>7</v>
      </c>
      <c r="C6" s="9">
        <f>7500/1000</f>
        <v>7.5</v>
      </c>
      <c r="D6" s="2"/>
      <c r="E6" s="5">
        <f t="shared" si="0"/>
        <v>7.5</v>
      </c>
      <c r="F6" s="13">
        <f>E6*(1+'Materia prima'!$B$1)</f>
        <v>10.125</v>
      </c>
    </row>
    <row r="7" spans="1:13" x14ac:dyDescent="0.3">
      <c r="A7" s="6" t="s">
        <v>107</v>
      </c>
      <c r="B7" s="2" t="s">
        <v>8</v>
      </c>
      <c r="C7" s="9">
        <f>1700/10</f>
        <v>170</v>
      </c>
      <c r="D7" s="2" t="s">
        <v>231</v>
      </c>
      <c r="E7" s="5">
        <f t="shared" si="0"/>
        <v>170</v>
      </c>
      <c r="F7" s="13">
        <f>E7*(1+'Materia prima'!$B$1)</f>
        <v>229.50000000000003</v>
      </c>
    </row>
    <row r="8" spans="1:13" x14ac:dyDescent="0.3">
      <c r="A8" s="6" t="s">
        <v>108</v>
      </c>
      <c r="B8" s="2" t="s">
        <v>9</v>
      </c>
      <c r="C8" s="9">
        <f>6000*1.25/50</f>
        <v>150</v>
      </c>
      <c r="D8" s="2" t="s">
        <v>231</v>
      </c>
      <c r="E8" s="5">
        <f t="shared" si="0"/>
        <v>150</v>
      </c>
      <c r="F8" s="13">
        <f>E8*(1+'Materia prima'!$B$1)</f>
        <v>202.5</v>
      </c>
    </row>
    <row r="9" spans="1:13" x14ac:dyDescent="0.3">
      <c r="A9" s="6" t="s">
        <v>109</v>
      </c>
      <c r="B9" s="2" t="s">
        <v>167</v>
      </c>
      <c r="C9" s="9">
        <f>1000/10</f>
        <v>100</v>
      </c>
      <c r="D9" s="2" t="s">
        <v>229</v>
      </c>
      <c r="E9" s="5">
        <f t="shared" si="0"/>
        <v>100</v>
      </c>
      <c r="F9" s="13">
        <f>E9*(1+'Materia prima'!$B$1)</f>
        <v>135</v>
      </c>
    </row>
    <row r="10" spans="1:13" x14ac:dyDescent="0.3">
      <c r="A10" s="6" t="s">
        <v>110</v>
      </c>
      <c r="B10" s="2" t="s">
        <v>10</v>
      </c>
      <c r="C10" s="9">
        <v>18000</v>
      </c>
      <c r="D10" s="2" t="s">
        <v>229</v>
      </c>
      <c r="E10" s="5">
        <f t="shared" si="0"/>
        <v>18000</v>
      </c>
      <c r="F10" s="13">
        <f>E10*(1+'Materia prima'!$B$1)</f>
        <v>24300</v>
      </c>
    </row>
    <row r="11" spans="1:13" x14ac:dyDescent="0.3">
      <c r="A11" s="6" t="s">
        <v>111</v>
      </c>
      <c r="B11" s="2" t="s">
        <v>21</v>
      </c>
      <c r="C11" s="5">
        <f>18000*3/40</f>
        <v>1350</v>
      </c>
      <c r="D11" s="2" t="s">
        <v>232</v>
      </c>
      <c r="E11" s="5">
        <f t="shared" si="0"/>
        <v>1350</v>
      </c>
      <c r="F11" s="13">
        <f>E11*(1+'Materia prima'!$B$1)</f>
        <v>1822.5000000000002</v>
      </c>
    </row>
    <row r="12" spans="1:13" x14ac:dyDescent="0.3">
      <c r="A12" s="2" t="s">
        <v>129</v>
      </c>
      <c r="B12" s="2" t="s">
        <v>130</v>
      </c>
      <c r="C12" s="9">
        <f>CEILING(3200/15,5)</f>
        <v>215</v>
      </c>
      <c r="D12" s="2" t="s">
        <v>231</v>
      </c>
      <c r="E12" s="5">
        <f t="shared" si="0"/>
        <v>215</v>
      </c>
      <c r="F12" s="13">
        <f>E12*(1+'Materia prima'!$B$1)</f>
        <v>290.25</v>
      </c>
    </row>
    <row r="13" spans="1:13" x14ac:dyDescent="0.3">
      <c r="A13" s="2"/>
      <c r="B13" s="2"/>
      <c r="C13" s="5"/>
      <c r="D13" s="2"/>
      <c r="E13" s="5"/>
      <c r="F13" s="13">
        <f>E13*(1+'Materia prima'!$B$1)</f>
        <v>0</v>
      </c>
    </row>
    <row r="14" spans="1:13" x14ac:dyDescent="0.3">
      <c r="A14" s="2"/>
      <c r="B14" s="2"/>
      <c r="C14" s="5"/>
      <c r="D14" s="2"/>
      <c r="E14" s="5"/>
      <c r="F14" s="13">
        <f>E14*(1+'Materia prima'!$B$1)</f>
        <v>0</v>
      </c>
    </row>
    <row r="15" spans="1:13" x14ac:dyDescent="0.3">
      <c r="A15" s="2"/>
      <c r="B15" s="2"/>
      <c r="C15" s="5"/>
      <c r="D15" s="2"/>
      <c r="E15" s="5"/>
      <c r="F15" s="13">
        <f>E15*(1+'Materia prima'!$B$1)</f>
        <v>0</v>
      </c>
    </row>
    <row r="16" spans="1:13" x14ac:dyDescent="0.3">
      <c r="A16" s="2"/>
      <c r="B16" s="2"/>
      <c r="C16" s="5"/>
      <c r="D16" s="2"/>
      <c r="E16" s="5"/>
      <c r="F16" s="13">
        <f>E16*(1+'Materia prima'!$B$1)</f>
        <v>0</v>
      </c>
    </row>
    <row r="17" spans="1:6" x14ac:dyDescent="0.3">
      <c r="A17" s="2"/>
      <c r="B17" s="2"/>
      <c r="C17" s="5"/>
      <c r="D17" s="2"/>
      <c r="E17" s="5"/>
      <c r="F17" s="13"/>
    </row>
    <row r="18" spans="1:6" x14ac:dyDescent="0.3">
      <c r="A18" s="2"/>
      <c r="B18" s="2"/>
      <c r="C18" s="5"/>
      <c r="D18" s="2"/>
      <c r="E18" s="5"/>
      <c r="F18" s="13"/>
    </row>
    <row r="24" spans="1:6" x14ac:dyDescent="0.3">
      <c r="A24" s="2" t="s">
        <v>77</v>
      </c>
      <c r="B24" s="2"/>
      <c r="C24" s="5"/>
      <c r="D24" s="2"/>
      <c r="E24" s="5"/>
      <c r="F24" s="13"/>
    </row>
    <row r="25" spans="1:6" x14ac:dyDescent="0.3">
      <c r="A25" s="6" t="s">
        <v>103</v>
      </c>
      <c r="B25" s="2" t="s">
        <v>46</v>
      </c>
      <c r="C25" s="9">
        <v>200</v>
      </c>
      <c r="D25" s="2" t="s">
        <v>229</v>
      </c>
      <c r="E25" s="5">
        <f>C25</f>
        <v>200</v>
      </c>
      <c r="F25" s="13">
        <f>E25*(1+'Materia prima'!$B$1)</f>
        <v>270</v>
      </c>
    </row>
    <row r="26" spans="1:6" x14ac:dyDescent="0.3">
      <c r="A26" s="6" t="s">
        <v>104</v>
      </c>
      <c r="B26" s="2" t="s">
        <v>137</v>
      </c>
      <c r="C26" s="9">
        <f>CEILING(450*3/3.5*1.28,10)</f>
        <v>500</v>
      </c>
      <c r="D26" s="2" t="s">
        <v>229</v>
      </c>
      <c r="E26" s="5">
        <f>C26</f>
        <v>500</v>
      </c>
      <c r="F26" s="13">
        <f>E26*(1+'Materia prima'!$B$1)</f>
        <v>675</v>
      </c>
    </row>
    <row r="27" spans="1:6" x14ac:dyDescent="0.3">
      <c r="A27" s="2" t="s">
        <v>136</v>
      </c>
      <c r="B27" s="2" t="s">
        <v>135</v>
      </c>
      <c r="C27" s="9">
        <f>765/5*0.3</f>
        <v>45.9</v>
      </c>
      <c r="D27" s="2" t="s">
        <v>229</v>
      </c>
      <c r="E27" s="5">
        <f>C27</f>
        <v>45.9</v>
      </c>
      <c r="F27" s="13">
        <f>E27*(1+'Materia prima'!$B$1)</f>
        <v>61.965000000000003</v>
      </c>
    </row>
    <row r="28" spans="1:6" x14ac:dyDescent="0.3">
      <c r="A28" s="2" t="s">
        <v>138</v>
      </c>
      <c r="B28" s="2" t="s">
        <v>139</v>
      </c>
      <c r="C28" s="9">
        <v>150</v>
      </c>
      <c r="D28" s="2" t="s">
        <v>229</v>
      </c>
      <c r="E28" s="5">
        <f>C28</f>
        <v>150</v>
      </c>
      <c r="F28" s="13">
        <f>E28*(1+'Materia prima'!$B$1)</f>
        <v>202.5</v>
      </c>
    </row>
    <row r="29" spans="1:6" x14ac:dyDescent="0.3">
      <c r="A29" s="6" t="s">
        <v>201</v>
      </c>
      <c r="B29" s="2" t="s">
        <v>202</v>
      </c>
      <c r="C29" s="5">
        <f>6500/68</f>
        <v>95.588235294117652</v>
      </c>
      <c r="D29" s="2" t="s">
        <v>229</v>
      </c>
      <c r="E29" s="5">
        <f>C29</f>
        <v>95.588235294117652</v>
      </c>
      <c r="F29" s="13">
        <f>E29*(1+'Materia prima'!$B$1)</f>
        <v>129.04411764705884</v>
      </c>
    </row>
    <row r="30" spans="1:6" x14ac:dyDescent="0.3">
      <c r="A30" s="2"/>
      <c r="B30" s="2"/>
      <c r="C30" s="5"/>
      <c r="D30" s="2"/>
      <c r="E30" s="5"/>
      <c r="F30" s="13"/>
    </row>
    <row r="31" spans="1:6" x14ac:dyDescent="0.3">
      <c r="A31" s="2" t="s">
        <v>75</v>
      </c>
      <c r="B31" s="2"/>
      <c r="C31" s="5"/>
      <c r="D31" s="2"/>
      <c r="E31" s="5"/>
      <c r="F31" s="13"/>
    </row>
    <row r="32" spans="1:6" x14ac:dyDescent="0.3">
      <c r="A32" s="6" t="s">
        <v>94</v>
      </c>
      <c r="B32" s="2" t="s">
        <v>42</v>
      </c>
      <c r="C32" s="9">
        <f>CEILING(23000/25,10)</f>
        <v>920</v>
      </c>
      <c r="D32" s="2" t="s">
        <v>229</v>
      </c>
      <c r="E32" s="5">
        <f>C32</f>
        <v>920</v>
      </c>
      <c r="F32" s="13">
        <f>E32*(1+'Materia prima'!$B$1)</f>
        <v>1242</v>
      </c>
    </row>
    <row r="33" spans="1:6" x14ac:dyDescent="0.3">
      <c r="A33" s="6" t="s">
        <v>95</v>
      </c>
      <c r="B33" s="2" t="s">
        <v>43</v>
      </c>
      <c r="C33" s="9">
        <f>CEILING(13000/25,10)</f>
        <v>520</v>
      </c>
      <c r="D33" s="2" t="s">
        <v>229</v>
      </c>
      <c r="E33" s="5">
        <f>C33</f>
        <v>520</v>
      </c>
      <c r="F33" s="13">
        <f>E33*(1+'Materia prima'!$B$1)</f>
        <v>702</v>
      </c>
    </row>
    <row r="34" spans="1:6" x14ac:dyDescent="0.3">
      <c r="A34" s="6" t="s">
        <v>96</v>
      </c>
      <c r="B34" s="2" t="s">
        <v>76</v>
      </c>
      <c r="C34" s="5">
        <v>500</v>
      </c>
      <c r="D34" s="2" t="s">
        <v>229</v>
      </c>
      <c r="E34" s="5">
        <f>C34</f>
        <v>500</v>
      </c>
      <c r="F34" s="13">
        <f>E34*(1+'Materia prima'!$B$1)</f>
        <v>675</v>
      </c>
    </row>
    <row r="35" spans="1:6" x14ac:dyDescent="0.3">
      <c r="A35" s="6" t="s">
        <v>97</v>
      </c>
      <c r="B35" s="2" t="s">
        <v>45</v>
      </c>
      <c r="C35" s="9">
        <f>1200/10*1.5</f>
        <v>180</v>
      </c>
      <c r="D35" s="2" t="s">
        <v>229</v>
      </c>
      <c r="E35" s="5">
        <f>C35</f>
        <v>180</v>
      </c>
      <c r="F35" s="13">
        <f>E35*(1+'Materia prima'!$B$1)</f>
        <v>243.00000000000003</v>
      </c>
    </row>
    <row r="36" spans="1:6" x14ac:dyDescent="0.3">
      <c r="A36" s="6" t="s">
        <v>98</v>
      </c>
      <c r="B36" s="2" t="s">
        <v>41</v>
      </c>
      <c r="C36" s="5">
        <f>CEILING(30000/(10*1)*(0.5*0.6),10)</f>
        <v>900</v>
      </c>
      <c r="D36" s="2" t="s">
        <v>229</v>
      </c>
      <c r="E36" s="5">
        <f>C36</f>
        <v>900</v>
      </c>
      <c r="F36" s="13">
        <f>E36*(1+'Materia prima'!$B$1)</f>
        <v>1215</v>
      </c>
    </row>
    <row r="37" spans="1:6" x14ac:dyDescent="0.3">
      <c r="A37" s="6" t="s">
        <v>99</v>
      </c>
      <c r="B37" s="2" t="s">
        <v>16</v>
      </c>
      <c r="C37" s="5"/>
      <c r="D37" s="2" t="s">
        <v>229</v>
      </c>
      <c r="E37" s="5">
        <v>2000</v>
      </c>
      <c r="F37" s="13">
        <f>E37*(1+'Materia prima'!$B$1)</f>
        <v>2700</v>
      </c>
    </row>
    <row r="38" spans="1:6" x14ac:dyDescent="0.3">
      <c r="A38" s="6" t="s">
        <v>100</v>
      </c>
      <c r="B38" s="2" t="s">
        <v>17</v>
      </c>
      <c r="C38" s="5">
        <f>7300/24</f>
        <v>304.16666666666669</v>
      </c>
      <c r="D38" s="2" t="s">
        <v>229</v>
      </c>
      <c r="E38" s="5">
        <v>1500</v>
      </c>
      <c r="F38" s="13">
        <f>E38*(1+'Materia prima'!$B$1)</f>
        <v>2025.0000000000002</v>
      </c>
    </row>
    <row r="39" spans="1:6" x14ac:dyDescent="0.3">
      <c r="A39" s="6" t="s">
        <v>101</v>
      </c>
      <c r="B39" s="2" t="s">
        <v>37</v>
      </c>
      <c r="C39" s="5">
        <f>CEILING(20000/50,10)</f>
        <v>400</v>
      </c>
      <c r="D39" s="2" t="s">
        <v>229</v>
      </c>
      <c r="E39" s="5">
        <f>C39</f>
        <v>400</v>
      </c>
      <c r="F39" s="13">
        <f>E39*(1+'Materia prima'!$B$1)</f>
        <v>540</v>
      </c>
    </row>
    <row r="40" spans="1:6" x14ac:dyDescent="0.3">
      <c r="A40" s="6" t="s">
        <v>102</v>
      </c>
      <c r="B40" s="2" t="s">
        <v>35</v>
      </c>
      <c r="C40" s="5">
        <f>CEILING(49000/60,10)</f>
        <v>820</v>
      </c>
      <c r="D40" s="2" t="s">
        <v>229</v>
      </c>
      <c r="E40" s="5">
        <f>C40</f>
        <v>820</v>
      </c>
      <c r="F40" s="13">
        <f>E40*(1+'Materia prima'!$B$1)</f>
        <v>1107</v>
      </c>
    </row>
    <row r="41" spans="1:6" x14ac:dyDescent="0.3">
      <c r="A41" s="2" t="s">
        <v>160</v>
      </c>
      <c r="B41" s="2" t="s">
        <v>161</v>
      </c>
      <c r="C41" s="5">
        <v>250</v>
      </c>
      <c r="D41" s="2" t="s">
        <v>229</v>
      </c>
      <c r="E41" s="5">
        <f>C41</f>
        <v>250</v>
      </c>
      <c r="F41" s="13">
        <f>E41*(1+'Materia prima'!$B$1)</f>
        <v>337.5</v>
      </c>
    </row>
    <row r="42" spans="1:6" x14ac:dyDescent="0.3">
      <c r="A42" s="2" t="s">
        <v>199</v>
      </c>
      <c r="B42" s="2" t="s">
        <v>200</v>
      </c>
      <c r="C42" s="5">
        <f>9000/20</f>
        <v>450</v>
      </c>
      <c r="D42" s="2" t="s">
        <v>229</v>
      </c>
      <c r="E42" s="5">
        <f>C42</f>
        <v>450</v>
      </c>
      <c r="F42" s="13">
        <f>E42*(1+'Materia prima'!$B$1)</f>
        <v>607.5</v>
      </c>
    </row>
    <row r="43" spans="1:6" x14ac:dyDescent="0.3">
      <c r="A43" s="6" t="s">
        <v>206</v>
      </c>
      <c r="B43" s="2" t="s">
        <v>207</v>
      </c>
      <c r="C43" s="9">
        <f>CEILING(13000/25,10)</f>
        <v>520</v>
      </c>
      <c r="D43" s="2" t="s">
        <v>229</v>
      </c>
      <c r="E43" s="5">
        <f>C43</f>
        <v>520</v>
      </c>
      <c r="F43" s="13">
        <f>E43*(1+'Materia prima'!$B$1)</f>
        <v>702</v>
      </c>
    </row>
    <row r="50" spans="1:6" x14ac:dyDescent="0.3">
      <c r="A50" s="2" t="s">
        <v>74</v>
      </c>
      <c r="B50" s="2"/>
      <c r="C50" s="5"/>
      <c r="D50" s="2"/>
      <c r="E50" s="5"/>
      <c r="F50" s="13"/>
    </row>
    <row r="51" spans="1:6" x14ac:dyDescent="0.3">
      <c r="A51" s="6" t="s">
        <v>112</v>
      </c>
      <c r="B51" s="2" t="s">
        <v>11</v>
      </c>
      <c r="C51" s="5">
        <v>7000</v>
      </c>
      <c r="D51" s="2" t="s">
        <v>233</v>
      </c>
      <c r="E51" s="5">
        <f>C51</f>
        <v>7000</v>
      </c>
      <c r="F51" s="13">
        <f>E51*(1+'Materia prima'!$B$1)</f>
        <v>9450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467"/>
  <sheetViews>
    <sheetView zoomScale="98" zoomScaleNormal="98" workbookViewId="0">
      <pane xSplit="8844" ySplit="864" topLeftCell="G1" activePane="bottomLeft"/>
      <selection pane="topRight" activeCell="G1" sqref="G1"/>
      <selection pane="bottomLeft" activeCell="A6" sqref="A6"/>
      <selection pane="bottomRight" activeCell="G8" sqref="G8"/>
    </sheetView>
  </sheetViews>
  <sheetFormatPr baseColWidth="10" defaultColWidth="11.5546875" defaultRowHeight="14.4" x14ac:dyDescent="0.3"/>
  <cols>
    <col min="1" max="1" width="7.6640625" style="2" bestFit="1" customWidth="1"/>
    <col min="2" max="2" width="26.88671875" style="2" customWidth="1"/>
    <col min="3" max="3" width="14" style="8" customWidth="1"/>
    <col min="4" max="4" width="7.88671875" style="2" customWidth="1"/>
    <col min="5" max="5" width="11.5546875" style="2" customWidth="1"/>
    <col min="6" max="6" width="11.5546875" style="11" customWidth="1"/>
    <col min="7" max="10" width="11.5546875" customWidth="1"/>
    <col min="11" max="11" width="9.77734375" bestFit="1" customWidth="1"/>
    <col min="12" max="12" width="11.5546875" customWidth="1"/>
    <col min="13" max="13" width="12.6640625" bestFit="1" customWidth="1"/>
    <col min="14" max="14" width="11.5546875" style="15" customWidth="1"/>
    <col min="15" max="16" width="11.5546875" customWidth="1"/>
    <col min="18" max="16384" width="11.5546875" style="2"/>
  </cols>
  <sheetData>
    <row r="1" spans="1:36" x14ac:dyDescent="0.3">
      <c r="N1" s="17">
        <v>7</v>
      </c>
      <c r="O1" s="18">
        <f>10/300/20</f>
        <v>1.6666666666666666E-3</v>
      </c>
      <c r="P1" s="7">
        <f>0.01/50</f>
        <v>2.0000000000000001E-4</v>
      </c>
    </row>
    <row r="2" spans="1:36" x14ac:dyDescent="0.3">
      <c r="A2" s="2" t="s">
        <v>34</v>
      </c>
      <c r="B2" s="2" t="s">
        <v>217</v>
      </c>
      <c r="C2" s="8" t="s">
        <v>219</v>
      </c>
      <c r="D2" s="2" t="s">
        <v>218</v>
      </c>
      <c r="E2" s="2" t="s">
        <v>222</v>
      </c>
      <c r="F2" s="11" t="s">
        <v>114</v>
      </c>
      <c r="H2" s="2" t="s">
        <v>6</v>
      </c>
      <c r="I2" s="2" t="s">
        <v>7</v>
      </c>
      <c r="J2" s="2" t="s">
        <v>167</v>
      </c>
      <c r="K2" s="2" t="s">
        <v>221</v>
      </c>
      <c r="L2" s="2" t="s">
        <v>21</v>
      </c>
      <c r="M2" s="2" t="s">
        <v>11</v>
      </c>
      <c r="N2" s="14" t="s">
        <v>9</v>
      </c>
      <c r="O2" s="2" t="s">
        <v>8</v>
      </c>
      <c r="P2" s="2" t="s">
        <v>10</v>
      </c>
      <c r="R2" s="2" t="s">
        <v>6</v>
      </c>
      <c r="S2" s="2" t="s">
        <v>7</v>
      </c>
      <c r="T2" s="2" t="s">
        <v>167</v>
      </c>
      <c r="U2" s="2" t="s">
        <v>221</v>
      </c>
      <c r="V2" s="2" t="s">
        <v>21</v>
      </c>
      <c r="W2" s="14" t="s">
        <v>9</v>
      </c>
      <c r="X2" s="2" t="s">
        <v>8</v>
      </c>
      <c r="Y2" s="2" t="s">
        <v>10</v>
      </c>
      <c r="Z2" s="2" t="s">
        <v>11</v>
      </c>
      <c r="AA2" s="2" t="s">
        <v>226</v>
      </c>
      <c r="AB2" s="2" t="s">
        <v>15</v>
      </c>
      <c r="AC2" s="2">
        <v>1.07</v>
      </c>
      <c r="AF2" s="2" t="s">
        <v>223</v>
      </c>
      <c r="AG2" s="2" t="s">
        <v>225</v>
      </c>
      <c r="AH2" s="2" t="s">
        <v>224</v>
      </c>
      <c r="AI2" s="2" t="s">
        <v>227</v>
      </c>
      <c r="AJ2" s="2" t="s">
        <v>228</v>
      </c>
    </row>
    <row r="3" spans="1:36" x14ac:dyDescent="0.3">
      <c r="A3" s="2" t="s">
        <v>71</v>
      </c>
      <c r="O3" s="1">
        <f t="shared" ref="O3:O34" si="0">IF((H3+I3)&gt;0,O$1*(H3+I3),0)</f>
        <v>0</v>
      </c>
      <c r="AB3" s="5"/>
      <c r="AC3" s="5"/>
      <c r="AD3" s="5"/>
    </row>
    <row r="4" spans="1:36" x14ac:dyDescent="0.3">
      <c r="A4" s="6" t="s">
        <v>52</v>
      </c>
      <c r="B4" s="2" t="s">
        <v>3</v>
      </c>
      <c r="E4" s="8">
        <f>AC4</f>
        <v>7700</v>
      </c>
      <c r="F4" s="13">
        <f>+E4*(1+'Materia prima'!$B$1)</f>
        <v>10395</v>
      </c>
      <c r="H4" s="1">
        <v>82</v>
      </c>
      <c r="I4" s="1">
        <v>0</v>
      </c>
      <c r="J4" s="1">
        <v>0.5</v>
      </c>
      <c r="K4" s="1">
        <v>0</v>
      </c>
      <c r="L4" s="1">
        <v>0</v>
      </c>
      <c r="M4" s="1">
        <v>45</v>
      </c>
      <c r="N4" s="16">
        <f t="shared" ref="N4:N35" si="1">IF((H4+I4)&gt;0,N$1/100*(H4+I4),0)</f>
        <v>5.74</v>
      </c>
      <c r="O4" s="1">
        <f t="shared" si="0"/>
        <v>0.13666666666666666</v>
      </c>
      <c r="P4" s="1">
        <f t="shared" ref="P4:P35" si="2">IF((H4+I4)&gt;0,P$1*(H4+I4),0)</f>
        <v>1.6400000000000001E-2</v>
      </c>
      <c r="R4" s="8">
        <f>VLOOKUP(R$2,'Materia prima'!$B:$J,2,0)*H4</f>
        <v>640.41999999999996</v>
      </c>
      <c r="S4" s="8">
        <f>VLOOKUP(S$2,'Materia prima'!$B:$J,2,0)*I4</f>
        <v>0</v>
      </c>
      <c r="T4" s="8">
        <f>VLOOKUP(T$2,'Materia prima'!$B:$J,2,0)*J4</f>
        <v>50</v>
      </c>
      <c r="U4" s="8">
        <f>C4*K4</f>
        <v>0</v>
      </c>
      <c r="V4" s="8">
        <f>VLOOKUP(V$2,'Materia prima'!$B:$J,2,0)*L4/1000</f>
        <v>0</v>
      </c>
      <c r="W4" s="8">
        <f>VLOOKUP(W$2,'Materia prima'!$B:$J,2,0)*N4</f>
        <v>861</v>
      </c>
      <c r="X4" s="8">
        <f>VLOOKUP(X$2,'Materia prima'!$B:$J,2,0)*O4</f>
        <v>23.233333333333331</v>
      </c>
      <c r="Y4" s="8">
        <f>VLOOKUP(Y$2,'Materia prima'!$B:$J,2,0)*P4</f>
        <v>295.20000000000005</v>
      </c>
      <c r="Z4" s="8">
        <f>VLOOKUP(Z$2,'Materia prima'!$B:$J,2,0)*M4/60</f>
        <v>5250</v>
      </c>
      <c r="AA4" s="8">
        <f>SUM(R4:Y4)</f>
        <v>1869.8533333333335</v>
      </c>
      <c r="AB4" s="5">
        <f>SUM(Z4:AA4)</f>
        <v>7119.8533333333335</v>
      </c>
      <c r="AC4" s="5">
        <f t="shared" ref="AC4:AC67" si="3">CEILING(AB4*$AC$2,100)</f>
        <v>7700</v>
      </c>
      <c r="AD4" s="5">
        <f t="shared" ref="AD4:AD66" si="4">AC4/AB4</f>
        <v>1.0814829518960127</v>
      </c>
      <c r="AF4" s="19">
        <f>Z4/AB4</f>
        <v>0.73737473992909963</v>
      </c>
      <c r="AG4" s="19">
        <f>$F4/AA4-1</f>
        <v>4.5592595497686093</v>
      </c>
      <c r="AH4" s="19">
        <f>$F4/AB4-1</f>
        <v>0.46000198505961731</v>
      </c>
      <c r="AI4" s="8">
        <f>F4-AA4</f>
        <v>8525.1466666666674</v>
      </c>
      <c r="AJ4" s="19">
        <f>AI4/$F4</f>
        <v>0.82011992945326284</v>
      </c>
    </row>
    <row r="5" spans="1:36" x14ac:dyDescent="0.3">
      <c r="A5" s="6" t="s">
        <v>53</v>
      </c>
      <c r="B5" s="2" t="s">
        <v>4</v>
      </c>
      <c r="E5" s="8">
        <f t="shared" ref="E5:E68" si="5">AC5</f>
        <v>12200</v>
      </c>
      <c r="F5" s="13">
        <f>+E5*(1+'Materia prima'!$B$1)</f>
        <v>16470</v>
      </c>
      <c r="H5" s="1">
        <v>179</v>
      </c>
      <c r="I5" s="1">
        <v>0</v>
      </c>
      <c r="J5" s="1">
        <v>0.75</v>
      </c>
      <c r="K5" s="1">
        <v>0</v>
      </c>
      <c r="L5" s="1">
        <v>0</v>
      </c>
      <c r="M5" s="1">
        <v>62.999999999999986</v>
      </c>
      <c r="N5" s="16">
        <f t="shared" si="1"/>
        <v>12.530000000000001</v>
      </c>
      <c r="O5" s="1">
        <f t="shared" si="0"/>
        <v>0.29833333333333334</v>
      </c>
      <c r="P5" s="1">
        <f t="shared" si="2"/>
        <v>3.5799999999999998E-2</v>
      </c>
      <c r="R5" s="8">
        <f>VLOOKUP(R$2,'Materia prima'!$B:$J,2,0)*H5</f>
        <v>1397.99</v>
      </c>
      <c r="S5" s="8">
        <f>VLOOKUP(S$2,'Materia prima'!$B:$J,2,0)*I5</f>
        <v>0</v>
      </c>
      <c r="T5" s="8">
        <f>VLOOKUP(T$2,'Materia prima'!$B:$J,2,0)*J5</f>
        <v>75</v>
      </c>
      <c r="U5" s="8">
        <f t="shared" ref="U5:U68" si="6">C5*K5</f>
        <v>0</v>
      </c>
      <c r="V5" s="8">
        <f>VLOOKUP(V$2,'Materia prima'!$B:$J,2,0)*L5/1000</f>
        <v>0</v>
      </c>
      <c r="W5" s="8">
        <f>VLOOKUP(W$2,'Materia prima'!$B:$J,2,0)*N5</f>
        <v>1879.5000000000002</v>
      </c>
      <c r="X5" s="8">
        <f>VLOOKUP(X$2,'Materia prima'!$B:$J,2,0)*O5</f>
        <v>50.716666666666669</v>
      </c>
      <c r="Y5" s="8">
        <f>VLOOKUP(Y$2,'Materia prima'!$B:$J,2,0)*P5</f>
        <v>644.4</v>
      </c>
      <c r="Z5" s="8">
        <f>VLOOKUP(Z$2,'Materia prima'!$B:$J,2,0)*M5/60</f>
        <v>7349.9999999999982</v>
      </c>
      <c r="AA5" s="8">
        <f t="shared" ref="AA5:AA68" si="7">SUM(R5:Y5)</f>
        <v>4047.606666666667</v>
      </c>
      <c r="AB5" s="5">
        <f t="shared" ref="AB5:AB68" si="8">SUM(Z5:AA5)</f>
        <v>11397.606666666665</v>
      </c>
      <c r="AC5" s="5">
        <f t="shared" si="3"/>
        <v>12200</v>
      </c>
      <c r="AD5" s="5">
        <f t="shared" si="4"/>
        <v>1.0704001600335979</v>
      </c>
      <c r="AF5" s="19">
        <f t="shared" ref="AF5:AF68" si="9">Z5/AB5</f>
        <v>0.64487222756122475</v>
      </c>
      <c r="AG5" s="19">
        <f t="shared" ref="AG5:AG68" si="10">$F5/AA5-1</f>
        <v>3.0690712701003555</v>
      </c>
      <c r="AH5" s="19">
        <f t="shared" ref="AH5:AH68" si="11">$F5/AB5-1</f>
        <v>0.44504021604535704</v>
      </c>
      <c r="AI5" s="8">
        <f t="shared" ref="AI5:AI68" si="12">F5-AA5</f>
        <v>12422.393333333333</v>
      </c>
      <c r="AJ5" s="19">
        <f t="shared" ref="AJ5:AJ68" si="13">AI5/$F5</f>
        <v>0.75424367536935844</v>
      </c>
    </row>
    <row r="6" spans="1:36" x14ac:dyDescent="0.3">
      <c r="A6" s="6" t="s">
        <v>54</v>
      </c>
      <c r="B6" s="2" t="s">
        <v>0</v>
      </c>
      <c r="E6" s="8">
        <f t="shared" si="5"/>
        <v>3000</v>
      </c>
      <c r="F6" s="13">
        <f>+E6*(1+'Materia prima'!$B$1)</f>
        <v>4050.0000000000005</v>
      </c>
      <c r="H6" s="1">
        <v>20</v>
      </c>
      <c r="I6" s="1">
        <v>0</v>
      </c>
      <c r="J6" s="1">
        <v>0.15</v>
      </c>
      <c r="K6" s="1">
        <v>0</v>
      </c>
      <c r="L6" s="1">
        <v>0</v>
      </c>
      <c r="M6" s="1">
        <v>20</v>
      </c>
      <c r="N6" s="16">
        <f t="shared" si="1"/>
        <v>1.4000000000000001</v>
      </c>
      <c r="O6" s="1">
        <f t="shared" si="0"/>
        <v>3.3333333333333333E-2</v>
      </c>
      <c r="P6" s="1">
        <f t="shared" si="2"/>
        <v>4.0000000000000001E-3</v>
      </c>
      <c r="R6" s="8">
        <f>VLOOKUP(R$2,'Materia prima'!$B:$J,2,0)*H6</f>
        <v>156.19999999999999</v>
      </c>
      <c r="S6" s="8">
        <f>VLOOKUP(S$2,'Materia prima'!$B:$J,2,0)*I6</f>
        <v>0</v>
      </c>
      <c r="T6" s="8">
        <f>VLOOKUP(T$2,'Materia prima'!$B:$J,2,0)*J6</f>
        <v>15</v>
      </c>
      <c r="U6" s="8">
        <f t="shared" si="6"/>
        <v>0</v>
      </c>
      <c r="V6" s="8">
        <f>VLOOKUP(V$2,'Materia prima'!$B:$J,2,0)*L6/1000</f>
        <v>0</v>
      </c>
      <c r="W6" s="8">
        <f>VLOOKUP(W$2,'Materia prima'!$B:$J,2,0)*N6</f>
        <v>210.00000000000003</v>
      </c>
      <c r="X6" s="8">
        <f>VLOOKUP(X$2,'Materia prima'!$B:$J,2,0)*O6</f>
        <v>5.666666666666667</v>
      </c>
      <c r="Y6" s="8">
        <f>VLOOKUP(Y$2,'Materia prima'!$B:$J,2,0)*P6</f>
        <v>72</v>
      </c>
      <c r="Z6" s="8">
        <f>VLOOKUP(Z$2,'Materia prima'!$B:$J,2,0)*M6/60</f>
        <v>2333.3333333333335</v>
      </c>
      <c r="AA6" s="8">
        <f t="shared" si="7"/>
        <v>458.86666666666673</v>
      </c>
      <c r="AB6" s="5">
        <f t="shared" si="8"/>
        <v>2792.2000000000003</v>
      </c>
      <c r="AC6" s="5">
        <f t="shared" si="3"/>
        <v>3000</v>
      </c>
      <c r="AD6" s="5">
        <f t="shared" si="4"/>
        <v>1.0744216030370317</v>
      </c>
      <c r="AF6" s="19">
        <f t="shared" si="9"/>
        <v>0.83566124680658016</v>
      </c>
      <c r="AG6" s="19">
        <f t="shared" si="10"/>
        <v>7.8260932732819981</v>
      </c>
      <c r="AH6" s="19">
        <f t="shared" si="11"/>
        <v>0.45046916409999294</v>
      </c>
      <c r="AI6" s="8">
        <f t="shared" si="12"/>
        <v>3591.1333333333337</v>
      </c>
      <c r="AJ6" s="19">
        <f t="shared" si="13"/>
        <v>0.88669958847736619</v>
      </c>
    </row>
    <row r="7" spans="1:36" x14ac:dyDescent="0.3">
      <c r="A7" s="6" t="s">
        <v>55</v>
      </c>
      <c r="B7" s="2" t="s">
        <v>2</v>
      </c>
      <c r="E7" s="8">
        <f t="shared" si="5"/>
        <v>5100</v>
      </c>
      <c r="F7" s="13">
        <f>+E7*(1+'Materia prima'!$B$1)</f>
        <v>6885</v>
      </c>
      <c r="H7" s="1">
        <v>55</v>
      </c>
      <c r="I7" s="1">
        <v>0</v>
      </c>
      <c r="J7" s="1">
        <v>0.2</v>
      </c>
      <c r="K7" s="1">
        <v>0</v>
      </c>
      <c r="L7" s="1">
        <v>0</v>
      </c>
      <c r="M7" s="1">
        <v>30</v>
      </c>
      <c r="N7" s="16">
        <f t="shared" si="1"/>
        <v>3.8500000000000005</v>
      </c>
      <c r="O7" s="1">
        <f t="shared" si="0"/>
        <v>9.166666666666666E-2</v>
      </c>
      <c r="P7" s="1">
        <f t="shared" si="2"/>
        <v>1.1000000000000001E-2</v>
      </c>
      <c r="R7" s="8">
        <f>VLOOKUP(R$2,'Materia prima'!$B:$J,2,0)*H7</f>
        <v>429.54999999999995</v>
      </c>
      <c r="S7" s="8">
        <f>VLOOKUP(S$2,'Materia prima'!$B:$J,2,0)*I7</f>
        <v>0</v>
      </c>
      <c r="T7" s="8">
        <f>VLOOKUP(T$2,'Materia prima'!$B:$J,2,0)*J7</f>
        <v>20</v>
      </c>
      <c r="U7" s="8">
        <f t="shared" si="6"/>
        <v>0</v>
      </c>
      <c r="V7" s="8">
        <f>VLOOKUP(V$2,'Materia prima'!$B:$J,2,0)*L7/1000</f>
        <v>0</v>
      </c>
      <c r="W7" s="8">
        <f>VLOOKUP(W$2,'Materia prima'!$B:$J,2,0)*N7</f>
        <v>577.50000000000011</v>
      </c>
      <c r="X7" s="8">
        <f>VLOOKUP(X$2,'Materia prima'!$B:$J,2,0)*O7</f>
        <v>15.583333333333332</v>
      </c>
      <c r="Y7" s="8">
        <f>VLOOKUP(Y$2,'Materia prima'!$B:$J,2,0)*P7</f>
        <v>198.00000000000003</v>
      </c>
      <c r="Z7" s="8">
        <f>VLOOKUP(Z$2,'Materia prima'!$B:$J,2,0)*M7/60</f>
        <v>3500</v>
      </c>
      <c r="AA7" s="8">
        <f t="shared" si="7"/>
        <v>1240.6333333333334</v>
      </c>
      <c r="AB7" s="5">
        <f t="shared" si="8"/>
        <v>4740.6333333333332</v>
      </c>
      <c r="AC7" s="5">
        <f t="shared" si="3"/>
        <v>5100</v>
      </c>
      <c r="AD7" s="5">
        <f t="shared" si="4"/>
        <v>1.0758056237211624</v>
      </c>
      <c r="AF7" s="19">
        <f t="shared" si="9"/>
        <v>0.73829797706354283</v>
      </c>
      <c r="AG7" s="19">
        <f t="shared" si="10"/>
        <v>4.5495848894381901</v>
      </c>
      <c r="AH7" s="19">
        <f t="shared" si="11"/>
        <v>0.45233759202356927</v>
      </c>
      <c r="AI7" s="8">
        <f t="shared" si="12"/>
        <v>5644.3666666666668</v>
      </c>
      <c r="AJ7" s="19">
        <f t="shared" si="13"/>
        <v>0.81980634229000249</v>
      </c>
    </row>
    <row r="8" spans="1:36" x14ac:dyDescent="0.3">
      <c r="A8" s="6" t="s">
        <v>56</v>
      </c>
      <c r="B8" s="2" t="s">
        <v>1</v>
      </c>
      <c r="E8" s="8">
        <f t="shared" si="5"/>
        <v>4900</v>
      </c>
      <c r="F8" s="13">
        <f>+E8*(1+'Materia prima'!$B$1)</f>
        <v>6615</v>
      </c>
      <c r="H8" s="1">
        <v>40</v>
      </c>
      <c r="I8" s="1">
        <v>0</v>
      </c>
      <c r="J8" s="1">
        <v>1</v>
      </c>
      <c r="K8" s="1">
        <v>0</v>
      </c>
      <c r="L8" s="1">
        <v>0</v>
      </c>
      <c r="M8" s="1">
        <v>30</v>
      </c>
      <c r="N8" s="16">
        <f t="shared" si="1"/>
        <v>2.8000000000000003</v>
      </c>
      <c r="O8" s="1">
        <f t="shared" si="0"/>
        <v>6.6666666666666666E-2</v>
      </c>
      <c r="P8" s="1">
        <f t="shared" si="2"/>
        <v>8.0000000000000002E-3</v>
      </c>
      <c r="R8" s="8">
        <f>VLOOKUP(R$2,'Materia prima'!$B:$J,2,0)*H8</f>
        <v>312.39999999999998</v>
      </c>
      <c r="S8" s="8">
        <f>VLOOKUP(S$2,'Materia prima'!$B:$J,2,0)*I8</f>
        <v>0</v>
      </c>
      <c r="T8" s="8">
        <f>VLOOKUP(T$2,'Materia prima'!$B:$J,2,0)*J8</f>
        <v>100</v>
      </c>
      <c r="U8" s="8">
        <f t="shared" si="6"/>
        <v>0</v>
      </c>
      <c r="V8" s="8">
        <f>VLOOKUP(V$2,'Materia prima'!$B:$J,2,0)*L8/1000</f>
        <v>0</v>
      </c>
      <c r="W8" s="8">
        <f>VLOOKUP(W$2,'Materia prima'!$B:$J,2,0)*N8</f>
        <v>420.00000000000006</v>
      </c>
      <c r="X8" s="8">
        <f>VLOOKUP(X$2,'Materia prima'!$B:$J,2,0)*O8</f>
        <v>11.333333333333334</v>
      </c>
      <c r="Y8" s="8">
        <f>VLOOKUP(Y$2,'Materia prima'!$B:$J,2,0)*P8</f>
        <v>144</v>
      </c>
      <c r="Z8" s="8">
        <f>VLOOKUP(Z$2,'Materia prima'!$B:$J,2,0)*M8/60</f>
        <v>3500</v>
      </c>
      <c r="AA8" s="8">
        <f t="shared" si="7"/>
        <v>987.73333333333346</v>
      </c>
      <c r="AB8" s="5">
        <f t="shared" si="8"/>
        <v>4487.7333333333336</v>
      </c>
      <c r="AC8" s="5">
        <f t="shared" si="3"/>
        <v>4900</v>
      </c>
      <c r="AD8" s="5">
        <f t="shared" si="4"/>
        <v>1.0918652326341434</v>
      </c>
      <c r="AF8" s="19">
        <f t="shared" si="9"/>
        <v>0.77990373759581666</v>
      </c>
      <c r="AG8" s="19">
        <f t="shared" si="10"/>
        <v>5.6971517278617698</v>
      </c>
      <c r="AH8" s="19">
        <f t="shared" si="11"/>
        <v>0.47401806405609359</v>
      </c>
      <c r="AI8" s="8">
        <f t="shared" si="12"/>
        <v>5627.2666666666664</v>
      </c>
      <c r="AJ8" s="19">
        <f t="shared" si="13"/>
        <v>0.85068279163517257</v>
      </c>
    </row>
    <row r="9" spans="1:36" x14ac:dyDescent="0.3">
      <c r="A9" s="6" t="s">
        <v>57</v>
      </c>
      <c r="B9" s="2" t="s">
        <v>5</v>
      </c>
      <c r="E9" s="8">
        <f t="shared" si="5"/>
        <v>9000</v>
      </c>
      <c r="F9" s="13">
        <f>+E9*(1+'Materia prima'!$B$1)</f>
        <v>12150</v>
      </c>
      <c r="H9" s="1">
        <v>136</v>
      </c>
      <c r="I9" s="1">
        <v>0</v>
      </c>
      <c r="J9" s="1">
        <v>0.5</v>
      </c>
      <c r="K9" s="1">
        <v>0</v>
      </c>
      <c r="L9" s="1">
        <v>0</v>
      </c>
      <c r="M9" s="1">
        <v>45</v>
      </c>
      <c r="N9" s="16">
        <f t="shared" si="1"/>
        <v>9.5200000000000014</v>
      </c>
      <c r="O9" s="1">
        <f t="shared" si="0"/>
        <v>0.22666666666666666</v>
      </c>
      <c r="P9" s="1">
        <f t="shared" si="2"/>
        <v>2.7200000000000002E-2</v>
      </c>
      <c r="R9" s="8">
        <f>VLOOKUP(R$2,'Materia prima'!$B:$J,2,0)*H9</f>
        <v>1062.1599999999999</v>
      </c>
      <c r="S9" s="8">
        <f>VLOOKUP(S$2,'Materia prima'!$B:$J,2,0)*I9</f>
        <v>0</v>
      </c>
      <c r="T9" s="8">
        <f>VLOOKUP(T$2,'Materia prima'!$B:$J,2,0)*J9</f>
        <v>50</v>
      </c>
      <c r="U9" s="8">
        <f t="shared" si="6"/>
        <v>0</v>
      </c>
      <c r="V9" s="8">
        <f>VLOOKUP(V$2,'Materia prima'!$B:$J,2,0)*L9/1000</f>
        <v>0</v>
      </c>
      <c r="W9" s="8">
        <f>VLOOKUP(W$2,'Materia prima'!$B:$J,2,0)*N9</f>
        <v>1428.0000000000002</v>
      </c>
      <c r="X9" s="8">
        <f>VLOOKUP(X$2,'Materia prima'!$B:$J,2,0)*O9</f>
        <v>38.533333333333331</v>
      </c>
      <c r="Y9" s="8">
        <f>VLOOKUP(Y$2,'Materia prima'!$B:$J,2,0)*P9</f>
        <v>489.6</v>
      </c>
      <c r="Z9" s="8">
        <f>VLOOKUP(Z$2,'Materia prima'!$B:$J,2,0)*M9/60</f>
        <v>5250</v>
      </c>
      <c r="AA9" s="8">
        <f t="shared" si="7"/>
        <v>3068.2933333333331</v>
      </c>
      <c r="AB9" s="5">
        <f t="shared" si="8"/>
        <v>8318.2933333333331</v>
      </c>
      <c r="AC9" s="5">
        <f t="shared" si="3"/>
        <v>9000</v>
      </c>
      <c r="AD9" s="5">
        <f t="shared" si="4"/>
        <v>1.0819527082478457</v>
      </c>
      <c r="AF9" s="19">
        <f t="shared" si="9"/>
        <v>0.6311390798112434</v>
      </c>
      <c r="AG9" s="19">
        <f t="shared" si="10"/>
        <v>2.9598560763421147</v>
      </c>
      <c r="AH9" s="19">
        <f t="shared" si="11"/>
        <v>0.46063615613459175</v>
      </c>
      <c r="AI9" s="8">
        <f t="shared" si="12"/>
        <v>9081.7066666666669</v>
      </c>
      <c r="AJ9" s="19">
        <f t="shared" si="13"/>
        <v>0.74746556927297669</v>
      </c>
    </row>
    <row r="10" spans="1:36" x14ac:dyDescent="0.3">
      <c r="A10" s="6" t="s">
        <v>58</v>
      </c>
      <c r="B10" s="2" t="s">
        <v>12</v>
      </c>
      <c r="E10" s="8">
        <f t="shared" si="5"/>
        <v>5500</v>
      </c>
      <c r="F10" s="13">
        <f>+E10*(1+'Materia prima'!$B$1)</f>
        <v>7425.0000000000009</v>
      </c>
      <c r="H10" s="1">
        <v>71</v>
      </c>
      <c r="I10" s="1">
        <v>0</v>
      </c>
      <c r="J10" s="1">
        <v>0.25</v>
      </c>
      <c r="K10" s="1">
        <v>0</v>
      </c>
      <c r="L10" s="1">
        <v>0</v>
      </c>
      <c r="M10" s="1">
        <v>30</v>
      </c>
      <c r="N10" s="16">
        <f t="shared" si="1"/>
        <v>4.9700000000000006</v>
      </c>
      <c r="O10" s="1">
        <f t="shared" si="0"/>
        <v>0.11833333333333333</v>
      </c>
      <c r="P10" s="1">
        <f t="shared" si="2"/>
        <v>1.4200000000000001E-2</v>
      </c>
      <c r="R10" s="8">
        <f>VLOOKUP(R$2,'Materia prima'!$B:$J,2,0)*H10</f>
        <v>554.51</v>
      </c>
      <c r="S10" s="8">
        <f>VLOOKUP(S$2,'Materia prima'!$B:$J,2,0)*I10</f>
        <v>0</v>
      </c>
      <c r="T10" s="8">
        <f>VLOOKUP(T$2,'Materia prima'!$B:$J,2,0)*J10</f>
        <v>25</v>
      </c>
      <c r="U10" s="8">
        <f t="shared" si="6"/>
        <v>0</v>
      </c>
      <c r="V10" s="8">
        <f>VLOOKUP(V$2,'Materia prima'!$B:$J,2,0)*L10/1000</f>
        <v>0</v>
      </c>
      <c r="W10" s="8">
        <f>VLOOKUP(W$2,'Materia prima'!$B:$J,2,0)*N10</f>
        <v>745.50000000000011</v>
      </c>
      <c r="X10" s="8">
        <f>VLOOKUP(X$2,'Materia prima'!$B:$J,2,0)*O10</f>
        <v>20.116666666666667</v>
      </c>
      <c r="Y10" s="8">
        <f>VLOOKUP(Y$2,'Materia prima'!$B:$J,2,0)*P10</f>
        <v>255.60000000000002</v>
      </c>
      <c r="Z10" s="8">
        <f>VLOOKUP(Z$2,'Materia prima'!$B:$J,2,0)*M10/60</f>
        <v>3500</v>
      </c>
      <c r="AA10" s="8">
        <f t="shared" si="7"/>
        <v>1600.7266666666669</v>
      </c>
      <c r="AB10" s="5">
        <f t="shared" si="8"/>
        <v>5100.7266666666674</v>
      </c>
      <c r="AC10" s="5">
        <f t="shared" si="3"/>
        <v>5500</v>
      </c>
      <c r="AD10" s="5">
        <f t="shared" si="4"/>
        <v>1.078277735590615</v>
      </c>
      <c r="AF10" s="19">
        <f t="shared" si="9"/>
        <v>0.68617674083039137</v>
      </c>
      <c r="AG10" s="19">
        <f t="shared" si="10"/>
        <v>3.6385183395874376</v>
      </c>
      <c r="AH10" s="19">
        <f t="shared" si="11"/>
        <v>0.45567494304733058</v>
      </c>
      <c r="AI10" s="8">
        <f t="shared" si="12"/>
        <v>5824.2733333333344</v>
      </c>
      <c r="AJ10" s="19">
        <f t="shared" si="13"/>
        <v>0.78441391694725038</v>
      </c>
    </row>
    <row r="11" spans="1:36" x14ac:dyDescent="0.3">
      <c r="A11" s="6" t="s">
        <v>59</v>
      </c>
      <c r="B11" s="2" t="s">
        <v>13</v>
      </c>
      <c r="E11" s="8">
        <f t="shared" si="5"/>
        <v>12000</v>
      </c>
      <c r="F11" s="13">
        <f>+E11*(1+'Materia prima'!$B$1)</f>
        <v>16200.000000000002</v>
      </c>
      <c r="H11" s="1">
        <v>265</v>
      </c>
      <c r="I11" s="1">
        <v>0</v>
      </c>
      <c r="J11" s="1">
        <v>0.75</v>
      </c>
      <c r="K11" s="1">
        <v>0</v>
      </c>
      <c r="L11" s="1">
        <v>0</v>
      </c>
      <c r="M11" s="1">
        <v>45</v>
      </c>
      <c r="N11" s="16">
        <f t="shared" si="1"/>
        <v>18.55</v>
      </c>
      <c r="O11" s="1">
        <f t="shared" si="0"/>
        <v>0.44166666666666665</v>
      </c>
      <c r="P11" s="1">
        <f t="shared" si="2"/>
        <v>5.3000000000000005E-2</v>
      </c>
      <c r="R11" s="8">
        <f>VLOOKUP(R$2,'Materia prima'!$B:$J,2,0)*H11</f>
        <v>2069.65</v>
      </c>
      <c r="S11" s="8">
        <f>VLOOKUP(S$2,'Materia prima'!$B:$J,2,0)*I11</f>
        <v>0</v>
      </c>
      <c r="T11" s="8">
        <f>VLOOKUP(T$2,'Materia prima'!$B:$J,2,0)*J11</f>
        <v>75</v>
      </c>
      <c r="U11" s="8">
        <f t="shared" si="6"/>
        <v>0</v>
      </c>
      <c r="V11" s="8">
        <f>VLOOKUP(V$2,'Materia prima'!$B:$J,2,0)*L11/1000</f>
        <v>0</v>
      </c>
      <c r="W11" s="8">
        <f>VLOOKUP(W$2,'Materia prima'!$B:$J,2,0)*N11</f>
        <v>2782.5</v>
      </c>
      <c r="X11" s="8">
        <f>VLOOKUP(X$2,'Materia prima'!$B:$J,2,0)*O11</f>
        <v>75.083333333333329</v>
      </c>
      <c r="Y11" s="8">
        <f>VLOOKUP(Y$2,'Materia prima'!$B:$J,2,0)*P11</f>
        <v>954.00000000000011</v>
      </c>
      <c r="Z11" s="8">
        <f>VLOOKUP(Z$2,'Materia prima'!$B:$J,2,0)*M11/60</f>
        <v>5250</v>
      </c>
      <c r="AA11" s="8">
        <f t="shared" si="7"/>
        <v>5956.2333333333327</v>
      </c>
      <c r="AB11" s="5">
        <f t="shared" si="8"/>
        <v>11206.233333333334</v>
      </c>
      <c r="AC11" s="5">
        <f t="shared" si="3"/>
        <v>12000</v>
      </c>
      <c r="AD11" s="5">
        <f t="shared" si="4"/>
        <v>1.0708326020934777</v>
      </c>
      <c r="AF11" s="19">
        <f t="shared" si="9"/>
        <v>0.46848926341589647</v>
      </c>
      <c r="AG11" s="19">
        <f t="shared" si="10"/>
        <v>1.7198397197333892</v>
      </c>
      <c r="AH11" s="19">
        <f t="shared" si="11"/>
        <v>0.44562401282619502</v>
      </c>
      <c r="AI11" s="8">
        <f t="shared" si="12"/>
        <v>10243.76666666667</v>
      </c>
      <c r="AJ11" s="19">
        <f t="shared" si="13"/>
        <v>0.63233127572016479</v>
      </c>
    </row>
    <row r="12" spans="1:36" x14ac:dyDescent="0.3">
      <c r="A12" s="6" t="s">
        <v>60</v>
      </c>
      <c r="B12" s="2" t="s">
        <v>14</v>
      </c>
      <c r="E12" s="8">
        <f t="shared" si="5"/>
        <v>8300</v>
      </c>
      <c r="F12" s="13">
        <f>+E12*(1+'Materia prima'!$B$1)</f>
        <v>11205</v>
      </c>
      <c r="H12" s="1">
        <v>110</v>
      </c>
      <c r="I12" s="1">
        <v>0</v>
      </c>
      <c r="J12" s="1">
        <v>0.5</v>
      </c>
      <c r="K12" s="1">
        <v>0</v>
      </c>
      <c r="L12" s="1">
        <v>0</v>
      </c>
      <c r="M12" s="1">
        <v>45</v>
      </c>
      <c r="N12" s="16">
        <f t="shared" si="1"/>
        <v>7.7000000000000011</v>
      </c>
      <c r="O12" s="1">
        <f t="shared" si="0"/>
        <v>0.18333333333333332</v>
      </c>
      <c r="P12" s="1">
        <f t="shared" si="2"/>
        <v>2.2000000000000002E-2</v>
      </c>
      <c r="R12" s="8">
        <f>VLOOKUP(R$2,'Materia prima'!$B:$J,2,0)*H12</f>
        <v>859.09999999999991</v>
      </c>
      <c r="S12" s="8">
        <f>VLOOKUP(S$2,'Materia prima'!$B:$J,2,0)*I12</f>
        <v>0</v>
      </c>
      <c r="T12" s="8">
        <f>VLOOKUP(T$2,'Materia prima'!$B:$J,2,0)*J12</f>
        <v>50</v>
      </c>
      <c r="U12" s="8">
        <f t="shared" si="6"/>
        <v>0</v>
      </c>
      <c r="V12" s="8">
        <f>VLOOKUP(V$2,'Materia prima'!$B:$J,2,0)*L12/1000</f>
        <v>0</v>
      </c>
      <c r="W12" s="8">
        <f>VLOOKUP(W$2,'Materia prima'!$B:$J,2,0)*N12</f>
        <v>1155.0000000000002</v>
      </c>
      <c r="X12" s="8">
        <f>VLOOKUP(X$2,'Materia prima'!$B:$J,2,0)*O12</f>
        <v>31.166666666666664</v>
      </c>
      <c r="Y12" s="8">
        <f>VLOOKUP(Y$2,'Materia prima'!$B:$J,2,0)*P12</f>
        <v>396.00000000000006</v>
      </c>
      <c r="Z12" s="8">
        <f>VLOOKUP(Z$2,'Materia prima'!$B:$J,2,0)*M12/60</f>
        <v>5250</v>
      </c>
      <c r="AA12" s="8">
        <f t="shared" si="7"/>
        <v>2491.2666666666669</v>
      </c>
      <c r="AB12" s="5">
        <f t="shared" si="8"/>
        <v>7741.2666666666664</v>
      </c>
      <c r="AC12" s="5">
        <f t="shared" si="3"/>
        <v>8300</v>
      </c>
      <c r="AD12" s="5">
        <f t="shared" si="4"/>
        <v>1.0721759574229885</v>
      </c>
      <c r="AF12" s="19">
        <f t="shared" si="9"/>
        <v>0.67818358752658914</v>
      </c>
      <c r="AG12" s="19">
        <f t="shared" si="10"/>
        <v>3.4977120072787597</v>
      </c>
      <c r="AH12" s="19">
        <f t="shared" si="11"/>
        <v>0.4474375425210344</v>
      </c>
      <c r="AI12" s="8">
        <f t="shared" si="12"/>
        <v>8713.7333333333336</v>
      </c>
      <c r="AJ12" s="19">
        <f t="shared" si="13"/>
        <v>0.77766473300609851</v>
      </c>
    </row>
    <row r="13" spans="1:36" x14ac:dyDescent="0.3">
      <c r="A13" s="6" t="s">
        <v>61</v>
      </c>
      <c r="B13" s="2" t="s">
        <v>25</v>
      </c>
      <c r="E13" s="8">
        <f t="shared" si="5"/>
        <v>6200</v>
      </c>
      <c r="F13" s="13">
        <f>+E13*(1+'Materia prima'!$B$1)</f>
        <v>8370</v>
      </c>
      <c r="H13" s="1">
        <v>0</v>
      </c>
      <c r="I13" s="1">
        <v>100</v>
      </c>
      <c r="J13" s="1">
        <v>0.15</v>
      </c>
      <c r="K13" s="1">
        <v>1</v>
      </c>
      <c r="L13" s="1">
        <v>0</v>
      </c>
      <c r="M13" s="1">
        <v>30</v>
      </c>
      <c r="N13" s="16">
        <f t="shared" si="1"/>
        <v>7.0000000000000009</v>
      </c>
      <c r="O13" s="1">
        <f t="shared" si="0"/>
        <v>0.16666666666666666</v>
      </c>
      <c r="P13" s="1">
        <f t="shared" si="2"/>
        <v>0.02</v>
      </c>
      <c r="R13" s="8">
        <f>VLOOKUP(R$2,'Materia prima'!$B:$J,2,0)*H13</f>
        <v>0</v>
      </c>
      <c r="S13" s="8">
        <f>VLOOKUP(S$2,'Materia prima'!$B:$J,2,0)*I13</f>
        <v>750</v>
      </c>
      <c r="T13" s="8">
        <f>VLOOKUP(T$2,'Materia prima'!$B:$J,2,0)*J13</f>
        <v>15</v>
      </c>
      <c r="U13" s="8">
        <f t="shared" si="6"/>
        <v>0</v>
      </c>
      <c r="V13" s="8">
        <f>VLOOKUP(V$2,'Materia prima'!$B:$J,2,0)*L13/1000</f>
        <v>0</v>
      </c>
      <c r="W13" s="8">
        <f>VLOOKUP(W$2,'Materia prima'!$B:$J,2,0)*N13</f>
        <v>1050.0000000000002</v>
      </c>
      <c r="X13" s="8">
        <f>VLOOKUP(X$2,'Materia prima'!$B:$J,2,0)*O13</f>
        <v>28.333333333333332</v>
      </c>
      <c r="Y13" s="8">
        <f>VLOOKUP(Y$2,'Materia prima'!$B:$J,2,0)*P13</f>
        <v>360</v>
      </c>
      <c r="Z13" s="8">
        <f>VLOOKUP(Z$2,'Materia prima'!$B:$J,2,0)*M13/60</f>
        <v>3500</v>
      </c>
      <c r="AA13" s="8">
        <f t="shared" si="7"/>
        <v>2203.3333333333335</v>
      </c>
      <c r="AB13" s="5">
        <f t="shared" si="8"/>
        <v>5703.3333333333339</v>
      </c>
      <c r="AC13" s="5">
        <f t="shared" si="3"/>
        <v>6200</v>
      </c>
      <c r="AD13" s="5">
        <f t="shared" si="4"/>
        <v>1.0870835768556399</v>
      </c>
      <c r="AF13" s="19">
        <f t="shared" si="9"/>
        <v>0.61367621274108697</v>
      </c>
      <c r="AG13" s="19">
        <f t="shared" si="10"/>
        <v>2.798789712556732</v>
      </c>
      <c r="AH13" s="19">
        <f t="shared" si="11"/>
        <v>0.4675628287551139</v>
      </c>
      <c r="AI13" s="8">
        <f t="shared" si="12"/>
        <v>6166.6666666666661</v>
      </c>
      <c r="AJ13" s="19">
        <f t="shared" si="13"/>
        <v>0.73675826363998398</v>
      </c>
    </row>
    <row r="14" spans="1:36" x14ac:dyDescent="0.3">
      <c r="A14" s="6" t="s">
        <v>62</v>
      </c>
      <c r="B14" s="2" t="s">
        <v>27</v>
      </c>
      <c r="E14" s="8">
        <f t="shared" si="5"/>
        <v>4900</v>
      </c>
      <c r="F14" s="13">
        <f>+E14*(1+'Materia prima'!$B$1)</f>
        <v>6615</v>
      </c>
      <c r="H14" s="1">
        <v>44</v>
      </c>
      <c r="I14" s="1">
        <v>0</v>
      </c>
      <c r="J14" s="1">
        <v>1</v>
      </c>
      <c r="K14" s="1">
        <v>0</v>
      </c>
      <c r="L14" s="1">
        <v>0</v>
      </c>
      <c r="M14" s="1">
        <v>30</v>
      </c>
      <c r="N14" s="16">
        <f t="shared" si="1"/>
        <v>3.08</v>
      </c>
      <c r="O14" s="1">
        <f t="shared" si="0"/>
        <v>7.3333333333333334E-2</v>
      </c>
      <c r="P14" s="1">
        <f t="shared" si="2"/>
        <v>8.8000000000000005E-3</v>
      </c>
      <c r="R14" s="8">
        <f>VLOOKUP(R$2,'Materia prima'!$B:$J,2,0)*H14</f>
        <v>343.64</v>
      </c>
      <c r="S14" s="8">
        <f>VLOOKUP(S$2,'Materia prima'!$B:$J,2,0)*I14</f>
        <v>0</v>
      </c>
      <c r="T14" s="8">
        <f>VLOOKUP(T$2,'Materia prima'!$B:$J,2,0)*J14</f>
        <v>100</v>
      </c>
      <c r="U14" s="8">
        <f t="shared" si="6"/>
        <v>0</v>
      </c>
      <c r="V14" s="8">
        <f>VLOOKUP(V$2,'Materia prima'!$B:$J,2,0)*L14/1000</f>
        <v>0</v>
      </c>
      <c r="W14" s="8">
        <f>VLOOKUP(W$2,'Materia prima'!$B:$J,2,0)*N14</f>
        <v>462</v>
      </c>
      <c r="X14" s="8">
        <f>VLOOKUP(X$2,'Materia prima'!$B:$J,2,0)*O14</f>
        <v>12.466666666666667</v>
      </c>
      <c r="Y14" s="8">
        <f>VLOOKUP(Y$2,'Materia prima'!$B:$J,2,0)*P14</f>
        <v>158.4</v>
      </c>
      <c r="Z14" s="8">
        <f>VLOOKUP(Z$2,'Materia prima'!$B:$J,2,0)*M14/60</f>
        <v>3500</v>
      </c>
      <c r="AA14" s="8">
        <f t="shared" si="7"/>
        <v>1076.5066666666667</v>
      </c>
      <c r="AB14" s="5">
        <f t="shared" si="8"/>
        <v>4576.5066666666662</v>
      </c>
      <c r="AC14" s="5">
        <f t="shared" si="3"/>
        <v>4900</v>
      </c>
      <c r="AD14" s="5">
        <f t="shared" si="4"/>
        <v>1.0706856466941308</v>
      </c>
      <c r="AF14" s="19">
        <f t="shared" si="9"/>
        <v>0.76477546192437906</v>
      </c>
      <c r="AG14" s="19">
        <f t="shared" si="10"/>
        <v>5.1448760187272411</v>
      </c>
      <c r="AH14" s="19">
        <f t="shared" si="11"/>
        <v>0.44542562303707656</v>
      </c>
      <c r="AI14" s="8">
        <f t="shared" si="12"/>
        <v>5538.4933333333338</v>
      </c>
      <c r="AJ14" s="19">
        <f t="shared" si="13"/>
        <v>0.83726278659611997</v>
      </c>
    </row>
    <row r="15" spans="1:36" x14ac:dyDescent="0.3">
      <c r="A15" s="6" t="s">
        <v>63</v>
      </c>
      <c r="B15" s="2" t="s">
        <v>28</v>
      </c>
      <c r="E15" s="8">
        <f t="shared" si="5"/>
        <v>5900</v>
      </c>
      <c r="F15" s="13">
        <f>+E15*(1+'Materia prima'!$B$1)</f>
        <v>7965.0000000000009</v>
      </c>
      <c r="H15" s="1">
        <v>84</v>
      </c>
      <c r="I15" s="1">
        <v>0</v>
      </c>
      <c r="J15" s="1">
        <v>1</v>
      </c>
      <c r="K15" s="1">
        <v>0</v>
      </c>
      <c r="L15" s="1">
        <v>0</v>
      </c>
      <c r="M15" s="1">
        <v>30</v>
      </c>
      <c r="N15" s="16">
        <f t="shared" si="1"/>
        <v>5.8800000000000008</v>
      </c>
      <c r="O15" s="1">
        <f t="shared" si="0"/>
        <v>0.13999999999999999</v>
      </c>
      <c r="P15" s="1">
        <f t="shared" si="2"/>
        <v>1.6800000000000002E-2</v>
      </c>
      <c r="R15" s="8">
        <f>VLOOKUP(R$2,'Materia prima'!$B:$J,2,0)*H15</f>
        <v>656.04</v>
      </c>
      <c r="S15" s="8">
        <f>VLOOKUP(S$2,'Materia prima'!$B:$J,2,0)*I15</f>
        <v>0</v>
      </c>
      <c r="T15" s="8">
        <f>VLOOKUP(T$2,'Materia prima'!$B:$J,2,0)*J15</f>
        <v>100</v>
      </c>
      <c r="U15" s="8">
        <f t="shared" si="6"/>
        <v>0</v>
      </c>
      <c r="V15" s="8">
        <f>VLOOKUP(V$2,'Materia prima'!$B:$J,2,0)*L15/1000</f>
        <v>0</v>
      </c>
      <c r="W15" s="8">
        <f>VLOOKUP(W$2,'Materia prima'!$B:$J,2,0)*N15</f>
        <v>882.00000000000011</v>
      </c>
      <c r="X15" s="8">
        <f>VLOOKUP(X$2,'Materia prima'!$B:$J,2,0)*O15</f>
        <v>23.799999999999997</v>
      </c>
      <c r="Y15" s="8">
        <f>VLOOKUP(Y$2,'Materia prima'!$B:$J,2,0)*P15</f>
        <v>302.40000000000003</v>
      </c>
      <c r="Z15" s="8">
        <f>VLOOKUP(Z$2,'Materia prima'!$B:$J,2,0)*M15/60</f>
        <v>3500</v>
      </c>
      <c r="AA15" s="8">
        <f t="shared" si="7"/>
        <v>1964.24</v>
      </c>
      <c r="AB15" s="5">
        <f t="shared" si="8"/>
        <v>5464.24</v>
      </c>
      <c r="AC15" s="5">
        <f t="shared" si="3"/>
        <v>5900</v>
      </c>
      <c r="AD15" s="5">
        <f t="shared" si="4"/>
        <v>1.0797475952739997</v>
      </c>
      <c r="AF15" s="19">
        <f t="shared" si="9"/>
        <v>0.64052823448457608</v>
      </c>
      <c r="AG15" s="19">
        <f t="shared" si="10"/>
        <v>3.0550034618987505</v>
      </c>
      <c r="AH15" s="19">
        <f t="shared" si="11"/>
        <v>0.45765925361989979</v>
      </c>
      <c r="AI15" s="8">
        <f t="shared" si="12"/>
        <v>6000.7600000000011</v>
      </c>
      <c r="AJ15" s="19">
        <f t="shared" si="13"/>
        <v>0.75339108600125559</v>
      </c>
    </row>
    <row r="16" spans="1:36" x14ac:dyDescent="0.3">
      <c r="A16" s="6" t="s">
        <v>64</v>
      </c>
      <c r="B16" s="2" t="s">
        <v>33</v>
      </c>
      <c r="E16" s="8">
        <f t="shared" si="5"/>
        <v>4500</v>
      </c>
      <c r="F16" s="13">
        <f>+E16*(1+'Materia prima'!$B$1)</f>
        <v>6075</v>
      </c>
      <c r="H16" s="1">
        <v>26</v>
      </c>
      <c r="I16" s="1">
        <v>0</v>
      </c>
      <c r="J16" s="1">
        <v>0.5</v>
      </c>
      <c r="K16" s="1">
        <v>0</v>
      </c>
      <c r="L16" s="1">
        <v>0</v>
      </c>
      <c r="M16" s="1">
        <v>30</v>
      </c>
      <c r="N16" s="16">
        <f t="shared" si="1"/>
        <v>1.8200000000000003</v>
      </c>
      <c r="O16" s="1">
        <f t="shared" si="0"/>
        <v>4.3333333333333328E-2</v>
      </c>
      <c r="P16" s="1">
        <f t="shared" si="2"/>
        <v>5.2000000000000006E-3</v>
      </c>
      <c r="R16" s="8">
        <f>VLOOKUP(R$2,'Materia prima'!$B:$J,2,0)*H16</f>
        <v>203.06</v>
      </c>
      <c r="S16" s="8">
        <f>VLOOKUP(S$2,'Materia prima'!$B:$J,2,0)*I16</f>
        <v>0</v>
      </c>
      <c r="T16" s="8">
        <f>VLOOKUP(T$2,'Materia prima'!$B:$J,2,0)*J16</f>
        <v>50</v>
      </c>
      <c r="U16" s="8">
        <f t="shared" si="6"/>
        <v>0</v>
      </c>
      <c r="V16" s="8">
        <f>VLOOKUP(V$2,'Materia prima'!$B:$J,2,0)*L16/1000</f>
        <v>0</v>
      </c>
      <c r="W16" s="8">
        <f>VLOOKUP(W$2,'Materia prima'!$B:$J,2,0)*N16</f>
        <v>273.00000000000006</v>
      </c>
      <c r="X16" s="8">
        <f>VLOOKUP(X$2,'Materia prima'!$B:$J,2,0)*O16</f>
        <v>7.3666666666666654</v>
      </c>
      <c r="Y16" s="8">
        <f>VLOOKUP(Y$2,'Materia prima'!$B:$J,2,0)*P16</f>
        <v>93.600000000000009</v>
      </c>
      <c r="Z16" s="8">
        <f>VLOOKUP(Z$2,'Materia prima'!$B:$J,2,0)*M16/60</f>
        <v>3500</v>
      </c>
      <c r="AA16" s="8">
        <f t="shared" si="7"/>
        <v>627.02666666666676</v>
      </c>
      <c r="AB16" s="5">
        <f t="shared" si="8"/>
        <v>4127.0266666666666</v>
      </c>
      <c r="AC16" s="5">
        <f t="shared" si="3"/>
        <v>4500</v>
      </c>
      <c r="AD16" s="5">
        <f t="shared" si="4"/>
        <v>1.0903733761513534</v>
      </c>
      <c r="AF16" s="19">
        <f t="shared" si="9"/>
        <v>0.84806818145105278</v>
      </c>
      <c r="AG16" s="19">
        <f t="shared" si="10"/>
        <v>8.6885831543581329</v>
      </c>
      <c r="AH16" s="19">
        <f t="shared" si="11"/>
        <v>0.47200405780432719</v>
      </c>
      <c r="AI16" s="8">
        <f t="shared" si="12"/>
        <v>5447.9733333333334</v>
      </c>
      <c r="AJ16" s="19">
        <f t="shared" si="13"/>
        <v>0.8967857338820302</v>
      </c>
    </row>
    <row r="17" spans="1:36" x14ac:dyDescent="0.3">
      <c r="A17" s="6" t="s">
        <v>65</v>
      </c>
      <c r="B17" s="2" t="s">
        <v>29</v>
      </c>
      <c r="E17" s="8">
        <f t="shared" si="5"/>
        <v>5600</v>
      </c>
      <c r="F17" s="13">
        <f>+E17*(1+'Materia prima'!$B$1)</f>
        <v>7560.0000000000009</v>
      </c>
      <c r="H17" s="1">
        <v>73</v>
      </c>
      <c r="I17" s="1">
        <v>0</v>
      </c>
      <c r="J17" s="1">
        <v>1</v>
      </c>
      <c r="K17" s="1">
        <v>0</v>
      </c>
      <c r="L17" s="1">
        <v>0</v>
      </c>
      <c r="M17" s="1">
        <v>30</v>
      </c>
      <c r="N17" s="16">
        <f t="shared" si="1"/>
        <v>5.1100000000000003</v>
      </c>
      <c r="O17" s="1">
        <f t="shared" si="0"/>
        <v>0.12166666666666666</v>
      </c>
      <c r="P17" s="1">
        <f t="shared" si="2"/>
        <v>1.46E-2</v>
      </c>
      <c r="R17" s="8">
        <f>VLOOKUP(R$2,'Materia prima'!$B:$J,2,0)*H17</f>
        <v>570.13</v>
      </c>
      <c r="S17" s="8">
        <f>VLOOKUP(S$2,'Materia prima'!$B:$J,2,0)*I17</f>
        <v>0</v>
      </c>
      <c r="T17" s="8">
        <f>VLOOKUP(T$2,'Materia prima'!$B:$J,2,0)*J17</f>
        <v>100</v>
      </c>
      <c r="U17" s="8">
        <f t="shared" si="6"/>
        <v>0</v>
      </c>
      <c r="V17" s="8">
        <f>VLOOKUP(V$2,'Materia prima'!$B:$J,2,0)*L17/1000</f>
        <v>0</v>
      </c>
      <c r="W17" s="8">
        <f>VLOOKUP(W$2,'Materia prima'!$B:$J,2,0)*N17</f>
        <v>766.5</v>
      </c>
      <c r="X17" s="8">
        <f>VLOOKUP(X$2,'Materia prima'!$B:$J,2,0)*O17</f>
        <v>20.683333333333334</v>
      </c>
      <c r="Y17" s="8">
        <f>VLOOKUP(Y$2,'Materia prima'!$B:$J,2,0)*P17</f>
        <v>262.8</v>
      </c>
      <c r="Z17" s="8">
        <f>VLOOKUP(Z$2,'Materia prima'!$B:$J,2,0)*M17/60</f>
        <v>3500</v>
      </c>
      <c r="AA17" s="8">
        <f t="shared" si="7"/>
        <v>1720.1133333333335</v>
      </c>
      <c r="AB17" s="5">
        <f t="shared" si="8"/>
        <v>5220.1133333333337</v>
      </c>
      <c r="AC17" s="5">
        <f t="shared" si="3"/>
        <v>5600</v>
      </c>
      <c r="AD17" s="5">
        <f t="shared" si="4"/>
        <v>1.0727736434841133</v>
      </c>
      <c r="AF17" s="19">
        <f t="shared" si="9"/>
        <v>0.67048352717757076</v>
      </c>
      <c r="AG17" s="19">
        <f t="shared" si="10"/>
        <v>3.3950592402826176</v>
      </c>
      <c r="AH17" s="19">
        <f t="shared" si="11"/>
        <v>0.44824441870355303</v>
      </c>
      <c r="AI17" s="8">
        <f t="shared" si="12"/>
        <v>5839.8866666666672</v>
      </c>
      <c r="AJ17" s="19">
        <f t="shared" si="13"/>
        <v>0.77247178130511462</v>
      </c>
    </row>
    <row r="18" spans="1:36" x14ac:dyDescent="0.3">
      <c r="A18" s="6" t="s">
        <v>66</v>
      </c>
      <c r="B18" s="2" t="s">
        <v>30</v>
      </c>
      <c r="E18" s="8">
        <f t="shared" si="5"/>
        <v>4800</v>
      </c>
      <c r="F18" s="13">
        <f>+E18*(1+'Materia prima'!$B$1)</f>
        <v>6480</v>
      </c>
      <c r="H18" s="1">
        <v>39</v>
      </c>
      <c r="I18" s="1">
        <v>0</v>
      </c>
      <c r="J18" s="1">
        <v>1</v>
      </c>
      <c r="K18" s="1">
        <v>0</v>
      </c>
      <c r="L18" s="1">
        <v>0</v>
      </c>
      <c r="M18" s="1">
        <v>30</v>
      </c>
      <c r="N18" s="16">
        <f t="shared" si="1"/>
        <v>2.7300000000000004</v>
      </c>
      <c r="O18" s="1">
        <f t="shared" si="0"/>
        <v>6.5000000000000002E-2</v>
      </c>
      <c r="P18" s="1">
        <f t="shared" si="2"/>
        <v>7.8000000000000005E-3</v>
      </c>
      <c r="R18" s="8">
        <f>VLOOKUP(R$2,'Materia prima'!$B:$J,2,0)*H18</f>
        <v>304.58999999999997</v>
      </c>
      <c r="S18" s="8">
        <f>VLOOKUP(S$2,'Materia prima'!$B:$J,2,0)*I18</f>
        <v>0</v>
      </c>
      <c r="T18" s="8">
        <f>VLOOKUP(T$2,'Materia prima'!$B:$J,2,0)*J18</f>
        <v>100</v>
      </c>
      <c r="U18" s="8">
        <f t="shared" si="6"/>
        <v>0</v>
      </c>
      <c r="V18" s="8">
        <f>VLOOKUP(V$2,'Materia prima'!$B:$J,2,0)*L18/1000</f>
        <v>0</v>
      </c>
      <c r="W18" s="8">
        <f>VLOOKUP(W$2,'Materia prima'!$B:$J,2,0)*N18</f>
        <v>409.50000000000006</v>
      </c>
      <c r="X18" s="8">
        <f>VLOOKUP(X$2,'Materia prima'!$B:$J,2,0)*O18</f>
        <v>11.05</v>
      </c>
      <c r="Y18" s="8">
        <f>VLOOKUP(Y$2,'Materia prima'!$B:$J,2,0)*P18</f>
        <v>140.4</v>
      </c>
      <c r="Z18" s="8">
        <f>VLOOKUP(Z$2,'Materia prima'!$B:$J,2,0)*M18/60</f>
        <v>3500</v>
      </c>
      <c r="AA18" s="8">
        <f t="shared" si="7"/>
        <v>965.54</v>
      </c>
      <c r="AB18" s="5">
        <f t="shared" si="8"/>
        <v>4465.54</v>
      </c>
      <c r="AC18" s="5">
        <f t="shared" si="3"/>
        <v>4800</v>
      </c>
      <c r="AD18" s="5">
        <f t="shared" si="4"/>
        <v>1.0748979966588588</v>
      </c>
      <c r="AF18" s="19">
        <f t="shared" si="9"/>
        <v>0.7837797892304178</v>
      </c>
      <c r="AG18" s="19">
        <f t="shared" si="10"/>
        <v>5.711270377198252</v>
      </c>
      <c r="AH18" s="19">
        <f t="shared" si="11"/>
        <v>0.4511122954894593</v>
      </c>
      <c r="AI18" s="8">
        <f t="shared" si="12"/>
        <v>5514.46</v>
      </c>
      <c r="AJ18" s="19">
        <f t="shared" si="13"/>
        <v>0.85099691358024687</v>
      </c>
    </row>
    <row r="19" spans="1:36" x14ac:dyDescent="0.3">
      <c r="A19" s="6" t="s">
        <v>67</v>
      </c>
      <c r="B19" s="2" t="s">
        <v>31</v>
      </c>
      <c r="E19" s="8">
        <f t="shared" si="5"/>
        <v>6800</v>
      </c>
      <c r="F19" s="13">
        <f>+E19*(1+'Materia prima'!$B$1)</f>
        <v>9180</v>
      </c>
      <c r="H19" s="1">
        <v>45</v>
      </c>
      <c r="I19" s="1">
        <v>0</v>
      </c>
      <c r="J19" s="1">
        <v>1</v>
      </c>
      <c r="K19" s="1">
        <v>0</v>
      </c>
      <c r="L19" s="1">
        <v>0</v>
      </c>
      <c r="M19" s="1">
        <v>45</v>
      </c>
      <c r="N19" s="16">
        <f t="shared" si="1"/>
        <v>3.1500000000000004</v>
      </c>
      <c r="O19" s="1">
        <f t="shared" si="0"/>
        <v>7.4999999999999997E-2</v>
      </c>
      <c r="P19" s="1">
        <f t="shared" si="2"/>
        <v>9.0000000000000011E-3</v>
      </c>
      <c r="R19" s="8">
        <f>VLOOKUP(R$2,'Materia prima'!$B:$J,2,0)*H19</f>
        <v>351.45</v>
      </c>
      <c r="S19" s="8">
        <f>VLOOKUP(S$2,'Materia prima'!$B:$J,2,0)*I19</f>
        <v>0</v>
      </c>
      <c r="T19" s="8">
        <f>VLOOKUP(T$2,'Materia prima'!$B:$J,2,0)*J19</f>
        <v>100</v>
      </c>
      <c r="U19" s="8">
        <f t="shared" si="6"/>
        <v>0</v>
      </c>
      <c r="V19" s="8">
        <f>VLOOKUP(V$2,'Materia prima'!$B:$J,2,0)*L19/1000</f>
        <v>0</v>
      </c>
      <c r="W19" s="8">
        <f>VLOOKUP(W$2,'Materia prima'!$B:$J,2,0)*N19</f>
        <v>472.50000000000006</v>
      </c>
      <c r="X19" s="8">
        <f>VLOOKUP(X$2,'Materia prima'!$B:$J,2,0)*O19</f>
        <v>12.75</v>
      </c>
      <c r="Y19" s="8">
        <f>VLOOKUP(Y$2,'Materia prima'!$B:$J,2,0)*P19</f>
        <v>162.00000000000003</v>
      </c>
      <c r="Z19" s="8">
        <f>VLOOKUP(Z$2,'Materia prima'!$B:$J,2,0)*M19/60</f>
        <v>5250</v>
      </c>
      <c r="AA19" s="8">
        <f t="shared" si="7"/>
        <v>1098.7</v>
      </c>
      <c r="AB19" s="5">
        <f t="shared" si="8"/>
        <v>6348.7</v>
      </c>
      <c r="AC19" s="5">
        <f t="shared" si="3"/>
        <v>6800</v>
      </c>
      <c r="AD19" s="5">
        <f t="shared" si="4"/>
        <v>1.0710854190621701</v>
      </c>
      <c r="AF19" s="19">
        <f t="shared" si="9"/>
        <v>0.82694094854064615</v>
      </c>
      <c r="AG19" s="19">
        <f t="shared" si="10"/>
        <v>7.3553290252116135</v>
      </c>
      <c r="AH19" s="19">
        <f t="shared" si="11"/>
        <v>0.44596531573392983</v>
      </c>
      <c r="AI19" s="8">
        <f t="shared" si="12"/>
        <v>8081.3</v>
      </c>
      <c r="AJ19" s="19">
        <f t="shared" si="13"/>
        <v>0.88031590413943361</v>
      </c>
    </row>
    <row r="20" spans="1:36" x14ac:dyDescent="0.3">
      <c r="A20" s="6" t="s">
        <v>68</v>
      </c>
      <c r="B20" s="2" t="s">
        <v>32</v>
      </c>
      <c r="E20" s="8">
        <f t="shared" si="5"/>
        <v>3200</v>
      </c>
      <c r="F20" s="13">
        <f>+E20*(1+'Materia prima'!$B$1)</f>
        <v>4320</v>
      </c>
      <c r="H20" s="1">
        <v>26</v>
      </c>
      <c r="I20" s="1">
        <v>0</v>
      </c>
      <c r="J20" s="1">
        <v>0.5</v>
      </c>
      <c r="K20" s="1">
        <v>0</v>
      </c>
      <c r="L20" s="1">
        <v>0</v>
      </c>
      <c r="M20" s="1">
        <v>20</v>
      </c>
      <c r="N20" s="16">
        <f t="shared" si="1"/>
        <v>1.8200000000000003</v>
      </c>
      <c r="O20" s="1">
        <f t="shared" si="0"/>
        <v>4.3333333333333328E-2</v>
      </c>
      <c r="P20" s="1">
        <f t="shared" si="2"/>
        <v>5.2000000000000006E-3</v>
      </c>
      <c r="R20" s="8">
        <f>VLOOKUP(R$2,'Materia prima'!$B:$J,2,0)*H20</f>
        <v>203.06</v>
      </c>
      <c r="S20" s="8">
        <f>VLOOKUP(S$2,'Materia prima'!$B:$J,2,0)*I20</f>
        <v>0</v>
      </c>
      <c r="T20" s="8">
        <f>VLOOKUP(T$2,'Materia prima'!$B:$J,2,0)*J20</f>
        <v>50</v>
      </c>
      <c r="U20" s="8">
        <f t="shared" si="6"/>
        <v>0</v>
      </c>
      <c r="V20" s="8">
        <f>VLOOKUP(V$2,'Materia prima'!$B:$J,2,0)*L20/1000</f>
        <v>0</v>
      </c>
      <c r="W20" s="8">
        <f>VLOOKUP(W$2,'Materia prima'!$B:$J,2,0)*N20</f>
        <v>273.00000000000006</v>
      </c>
      <c r="X20" s="8">
        <f>VLOOKUP(X$2,'Materia prima'!$B:$J,2,0)*O20</f>
        <v>7.3666666666666654</v>
      </c>
      <c r="Y20" s="8">
        <f>VLOOKUP(Y$2,'Materia prima'!$B:$J,2,0)*P20</f>
        <v>93.600000000000009</v>
      </c>
      <c r="Z20" s="8">
        <f>VLOOKUP(Z$2,'Materia prima'!$B:$J,2,0)*M20/60</f>
        <v>2333.3333333333335</v>
      </c>
      <c r="AA20" s="8">
        <f t="shared" si="7"/>
        <v>627.02666666666676</v>
      </c>
      <c r="AB20" s="5">
        <f t="shared" si="8"/>
        <v>2960.36</v>
      </c>
      <c r="AC20" s="5">
        <f t="shared" si="3"/>
        <v>3200</v>
      </c>
      <c r="AD20" s="5">
        <f t="shared" si="4"/>
        <v>1.0809496142361064</v>
      </c>
      <c r="AF20" s="19">
        <f t="shared" si="9"/>
        <v>0.78819242704716097</v>
      </c>
      <c r="AG20" s="19">
        <f t="shared" si="10"/>
        <v>5.8896591319880063</v>
      </c>
      <c r="AH20" s="19">
        <f t="shared" si="11"/>
        <v>0.4592819792187437</v>
      </c>
      <c r="AI20" s="8">
        <f t="shared" si="12"/>
        <v>3692.9733333333334</v>
      </c>
      <c r="AJ20" s="19">
        <f t="shared" si="13"/>
        <v>0.85485493827160497</v>
      </c>
    </row>
    <row r="21" spans="1:36" x14ac:dyDescent="0.3">
      <c r="A21" s="6" t="s">
        <v>69</v>
      </c>
      <c r="B21" s="2" t="s">
        <v>44</v>
      </c>
      <c r="E21" s="8">
        <f t="shared" si="5"/>
        <v>3000</v>
      </c>
      <c r="F21" s="13">
        <f>+E21*(1+'Materia prima'!$B$1)</f>
        <v>4050.0000000000005</v>
      </c>
      <c r="H21" s="1">
        <v>15</v>
      </c>
      <c r="I21" s="1">
        <v>0</v>
      </c>
      <c r="J21" s="1">
        <v>0.5</v>
      </c>
      <c r="K21" s="1">
        <v>0</v>
      </c>
      <c r="L21" s="1">
        <v>0</v>
      </c>
      <c r="M21" s="1">
        <v>20</v>
      </c>
      <c r="N21" s="16">
        <f t="shared" si="1"/>
        <v>1.05</v>
      </c>
      <c r="O21" s="1">
        <f t="shared" si="0"/>
        <v>2.4999999999999998E-2</v>
      </c>
      <c r="P21" s="1">
        <f t="shared" si="2"/>
        <v>3.0000000000000001E-3</v>
      </c>
      <c r="R21" s="8">
        <f>VLOOKUP(R$2,'Materia prima'!$B:$J,2,0)*H21</f>
        <v>117.14999999999999</v>
      </c>
      <c r="S21" s="8">
        <f>VLOOKUP(S$2,'Materia prima'!$B:$J,2,0)*I21</f>
        <v>0</v>
      </c>
      <c r="T21" s="8">
        <f>VLOOKUP(T$2,'Materia prima'!$B:$J,2,0)*J21</f>
        <v>50</v>
      </c>
      <c r="U21" s="8">
        <f t="shared" si="6"/>
        <v>0</v>
      </c>
      <c r="V21" s="8">
        <f>VLOOKUP(V$2,'Materia prima'!$B:$J,2,0)*L21/1000</f>
        <v>0</v>
      </c>
      <c r="W21" s="8">
        <f>VLOOKUP(W$2,'Materia prima'!$B:$J,2,0)*N21</f>
        <v>157.5</v>
      </c>
      <c r="X21" s="8">
        <f>VLOOKUP(X$2,'Materia prima'!$B:$J,2,0)*O21</f>
        <v>4.25</v>
      </c>
      <c r="Y21" s="8">
        <f>VLOOKUP(Y$2,'Materia prima'!$B:$J,2,0)*P21</f>
        <v>54</v>
      </c>
      <c r="Z21" s="8">
        <f>VLOOKUP(Z$2,'Materia prima'!$B:$J,2,0)*M21/60</f>
        <v>2333.3333333333335</v>
      </c>
      <c r="AA21" s="8">
        <f t="shared" si="7"/>
        <v>382.9</v>
      </c>
      <c r="AB21" s="5">
        <f t="shared" si="8"/>
        <v>2716.2333333333336</v>
      </c>
      <c r="AC21" s="5">
        <f t="shared" si="3"/>
        <v>3000</v>
      </c>
      <c r="AD21" s="5">
        <f t="shared" si="4"/>
        <v>1.1044706517604035</v>
      </c>
      <c r="AF21" s="19">
        <f t="shared" si="9"/>
        <v>0.85903272914698048</v>
      </c>
      <c r="AG21" s="19">
        <f t="shared" si="10"/>
        <v>9.5771741969182571</v>
      </c>
      <c r="AH21" s="19">
        <f t="shared" si="11"/>
        <v>0.49103537987654478</v>
      </c>
      <c r="AI21" s="8">
        <f t="shared" si="12"/>
        <v>3667.1000000000004</v>
      </c>
      <c r="AJ21" s="19">
        <f t="shared" si="13"/>
        <v>0.90545679012345681</v>
      </c>
    </row>
    <row r="22" spans="1:36" x14ac:dyDescent="0.3">
      <c r="A22" s="6" t="s">
        <v>70</v>
      </c>
      <c r="B22" s="2" t="s">
        <v>48</v>
      </c>
      <c r="E22" s="8">
        <f t="shared" si="5"/>
        <v>6200</v>
      </c>
      <c r="F22" s="13">
        <f>+E22*(1+'Materia prima'!$B$1)</f>
        <v>8370</v>
      </c>
      <c r="H22" s="1">
        <v>95</v>
      </c>
      <c r="I22" s="1">
        <v>0</v>
      </c>
      <c r="J22" s="1">
        <v>1</v>
      </c>
      <c r="K22" s="1">
        <v>0</v>
      </c>
      <c r="L22" s="1">
        <v>0</v>
      </c>
      <c r="M22" s="1">
        <v>30</v>
      </c>
      <c r="N22" s="16">
        <f t="shared" si="1"/>
        <v>6.65</v>
      </c>
      <c r="O22" s="1">
        <f t="shared" si="0"/>
        <v>0.15833333333333333</v>
      </c>
      <c r="P22" s="1">
        <f t="shared" si="2"/>
        <v>1.9E-2</v>
      </c>
      <c r="R22" s="8">
        <f>VLOOKUP(R$2,'Materia prima'!$B:$J,2,0)*H22</f>
        <v>741.94999999999993</v>
      </c>
      <c r="S22" s="8">
        <f>VLOOKUP(S$2,'Materia prima'!$B:$J,2,0)*I22</f>
        <v>0</v>
      </c>
      <c r="T22" s="8">
        <f>VLOOKUP(T$2,'Materia prima'!$B:$J,2,0)*J22</f>
        <v>100</v>
      </c>
      <c r="U22" s="8">
        <f t="shared" si="6"/>
        <v>0</v>
      </c>
      <c r="V22" s="8">
        <f>VLOOKUP(V$2,'Materia prima'!$B:$J,2,0)*L22/1000</f>
        <v>0</v>
      </c>
      <c r="W22" s="8">
        <f>VLOOKUP(W$2,'Materia prima'!$B:$J,2,0)*N22</f>
        <v>997.5</v>
      </c>
      <c r="X22" s="8">
        <f>VLOOKUP(X$2,'Materia prima'!$B:$J,2,0)*O22</f>
        <v>26.916666666666664</v>
      </c>
      <c r="Y22" s="8">
        <f>VLOOKUP(Y$2,'Materia prima'!$B:$J,2,0)*P22</f>
        <v>342</v>
      </c>
      <c r="Z22" s="8">
        <f>VLOOKUP(Z$2,'Materia prima'!$B:$J,2,0)*M22/60</f>
        <v>3500</v>
      </c>
      <c r="AA22" s="8">
        <f t="shared" si="7"/>
        <v>2208.3666666666668</v>
      </c>
      <c r="AB22" s="5">
        <f t="shared" si="8"/>
        <v>5708.3666666666668</v>
      </c>
      <c r="AC22" s="5">
        <f t="shared" si="3"/>
        <v>6200</v>
      </c>
      <c r="AD22" s="5">
        <f t="shared" si="4"/>
        <v>1.0861250445252875</v>
      </c>
      <c r="AF22" s="19">
        <f t="shared" si="9"/>
        <v>0.6131351057804042</v>
      </c>
      <c r="AG22" s="19">
        <f t="shared" si="10"/>
        <v>2.7901314697136645</v>
      </c>
      <c r="AH22" s="19">
        <f t="shared" si="11"/>
        <v>0.46626881010913812</v>
      </c>
      <c r="AI22" s="8">
        <f t="shared" si="12"/>
        <v>6161.6333333333332</v>
      </c>
      <c r="AJ22" s="19">
        <f t="shared" si="13"/>
        <v>0.7361569095977698</v>
      </c>
    </row>
    <row r="23" spans="1:36" x14ac:dyDescent="0.3">
      <c r="A23" s="6" t="s">
        <v>133</v>
      </c>
      <c r="B23" s="2" t="s">
        <v>131</v>
      </c>
      <c r="E23" s="8">
        <f t="shared" si="5"/>
        <v>5900</v>
      </c>
      <c r="F23" s="13">
        <f>+E23*(1+'Materia prima'!$B$1)</f>
        <v>7965.0000000000009</v>
      </c>
      <c r="H23" s="1">
        <v>85</v>
      </c>
      <c r="I23" s="1">
        <v>0</v>
      </c>
      <c r="J23" s="1">
        <v>1</v>
      </c>
      <c r="K23" s="1">
        <v>0</v>
      </c>
      <c r="L23" s="1">
        <v>0</v>
      </c>
      <c r="M23" s="1">
        <v>30</v>
      </c>
      <c r="N23" s="16">
        <f t="shared" si="1"/>
        <v>5.95</v>
      </c>
      <c r="O23" s="1">
        <f t="shared" si="0"/>
        <v>0.14166666666666666</v>
      </c>
      <c r="P23" s="1">
        <f t="shared" si="2"/>
        <v>1.7000000000000001E-2</v>
      </c>
      <c r="R23" s="8">
        <f>VLOOKUP(R$2,'Materia prima'!$B:$J,2,0)*H23</f>
        <v>663.85</v>
      </c>
      <c r="S23" s="8">
        <f>VLOOKUP(S$2,'Materia prima'!$B:$J,2,0)*I23</f>
        <v>0</v>
      </c>
      <c r="T23" s="8">
        <f>VLOOKUP(T$2,'Materia prima'!$B:$J,2,0)*J23</f>
        <v>100</v>
      </c>
      <c r="U23" s="8">
        <f t="shared" si="6"/>
        <v>0</v>
      </c>
      <c r="V23" s="8">
        <f>VLOOKUP(V$2,'Materia prima'!$B:$J,2,0)*L23/1000</f>
        <v>0</v>
      </c>
      <c r="W23" s="8">
        <f>VLOOKUP(W$2,'Materia prima'!$B:$J,2,0)*N23</f>
        <v>892.5</v>
      </c>
      <c r="X23" s="8">
        <f>VLOOKUP(X$2,'Materia prima'!$B:$J,2,0)*O23</f>
        <v>24.083333333333332</v>
      </c>
      <c r="Y23" s="8">
        <f>VLOOKUP(Y$2,'Materia prima'!$B:$J,2,0)*P23</f>
        <v>306</v>
      </c>
      <c r="Z23" s="8">
        <f>VLOOKUP(Z$2,'Materia prima'!$B:$J,2,0)*M23/60</f>
        <v>3500</v>
      </c>
      <c r="AA23" s="8">
        <f t="shared" si="7"/>
        <v>1986.4333333333332</v>
      </c>
      <c r="AB23" s="5">
        <f t="shared" si="8"/>
        <v>5486.4333333333334</v>
      </c>
      <c r="AC23" s="5">
        <f t="shared" si="3"/>
        <v>5900</v>
      </c>
      <c r="AD23" s="5">
        <f t="shared" si="4"/>
        <v>1.075379876422448</v>
      </c>
      <c r="AF23" s="19">
        <f t="shared" si="9"/>
        <v>0.63793721482687593</v>
      </c>
      <c r="AG23" s="19">
        <f t="shared" si="10"/>
        <v>3.0096991257362449</v>
      </c>
      <c r="AH23" s="19">
        <f t="shared" si="11"/>
        <v>0.45176283317030519</v>
      </c>
      <c r="AI23" s="8">
        <f t="shared" si="12"/>
        <v>5978.5666666666675</v>
      </c>
      <c r="AJ23" s="19">
        <f t="shared" si="13"/>
        <v>0.75060472902280817</v>
      </c>
    </row>
    <row r="24" spans="1:36" x14ac:dyDescent="0.3">
      <c r="A24" s="6" t="s">
        <v>134</v>
      </c>
      <c r="B24" s="2" t="s">
        <v>132</v>
      </c>
      <c r="E24" s="8">
        <f t="shared" si="5"/>
        <v>5200</v>
      </c>
      <c r="F24" s="13">
        <f>+E24*(1+'Materia prima'!$B$1)</f>
        <v>7020.0000000000009</v>
      </c>
      <c r="H24" s="1">
        <v>53</v>
      </c>
      <c r="I24" s="1">
        <v>0</v>
      </c>
      <c r="J24" s="1">
        <v>1</v>
      </c>
      <c r="K24" s="1">
        <v>0</v>
      </c>
      <c r="L24" s="1">
        <v>0</v>
      </c>
      <c r="M24" s="1">
        <v>30</v>
      </c>
      <c r="N24" s="16">
        <f t="shared" si="1"/>
        <v>3.7100000000000004</v>
      </c>
      <c r="O24" s="1">
        <f t="shared" si="0"/>
        <v>8.8333333333333333E-2</v>
      </c>
      <c r="P24" s="1">
        <f t="shared" si="2"/>
        <v>1.06E-2</v>
      </c>
      <c r="R24" s="8">
        <f>VLOOKUP(R$2,'Materia prima'!$B:$J,2,0)*H24</f>
        <v>413.93</v>
      </c>
      <c r="S24" s="8">
        <f>VLOOKUP(S$2,'Materia prima'!$B:$J,2,0)*I24</f>
        <v>0</v>
      </c>
      <c r="T24" s="8">
        <f>VLOOKUP(T$2,'Materia prima'!$B:$J,2,0)*J24</f>
        <v>100</v>
      </c>
      <c r="U24" s="8">
        <f t="shared" si="6"/>
        <v>0</v>
      </c>
      <c r="V24" s="8">
        <f>VLOOKUP(V$2,'Materia prima'!$B:$J,2,0)*L24/1000</f>
        <v>0</v>
      </c>
      <c r="W24" s="8">
        <f>VLOOKUP(W$2,'Materia prima'!$B:$J,2,0)*N24</f>
        <v>556.50000000000011</v>
      </c>
      <c r="X24" s="8">
        <f>VLOOKUP(X$2,'Materia prima'!$B:$J,2,0)*O24</f>
        <v>15.016666666666667</v>
      </c>
      <c r="Y24" s="8">
        <f>VLOOKUP(Y$2,'Materia prima'!$B:$J,2,0)*P24</f>
        <v>190.8</v>
      </c>
      <c r="Z24" s="8">
        <f>VLOOKUP(Z$2,'Materia prima'!$B:$J,2,0)*M24/60</f>
        <v>3500</v>
      </c>
      <c r="AA24" s="8">
        <f t="shared" si="7"/>
        <v>1276.2466666666669</v>
      </c>
      <c r="AB24" s="5">
        <f t="shared" si="8"/>
        <v>4776.2466666666669</v>
      </c>
      <c r="AC24" s="5">
        <f t="shared" si="3"/>
        <v>5200</v>
      </c>
      <c r="AD24" s="5">
        <f t="shared" si="4"/>
        <v>1.0887209901219506</v>
      </c>
      <c r="AF24" s="19">
        <f t="shared" si="9"/>
        <v>0.73279297412054367</v>
      </c>
      <c r="AG24" s="19">
        <f t="shared" si="10"/>
        <v>4.5005040822829443</v>
      </c>
      <c r="AH24" s="19">
        <f t="shared" si="11"/>
        <v>0.4697733366646335</v>
      </c>
      <c r="AI24" s="8">
        <f t="shared" si="12"/>
        <v>5743.753333333334</v>
      </c>
      <c r="AJ24" s="19">
        <f t="shared" si="13"/>
        <v>0.81819848053181388</v>
      </c>
    </row>
    <row r="25" spans="1:36" x14ac:dyDescent="0.3">
      <c r="A25" s="6" t="s">
        <v>150</v>
      </c>
      <c r="B25" s="2" t="s">
        <v>149</v>
      </c>
      <c r="E25" s="8">
        <f t="shared" si="5"/>
        <v>5900</v>
      </c>
      <c r="F25" s="13">
        <f>+E25*(1+'Materia prima'!$B$1)</f>
        <v>7965.0000000000009</v>
      </c>
      <c r="H25" s="1">
        <v>87</v>
      </c>
      <c r="I25" s="1">
        <v>0</v>
      </c>
      <c r="J25" s="1">
        <v>0.2</v>
      </c>
      <c r="K25" s="1">
        <v>0</v>
      </c>
      <c r="L25" s="1">
        <v>0</v>
      </c>
      <c r="M25" s="1">
        <v>30</v>
      </c>
      <c r="N25" s="16">
        <f t="shared" si="1"/>
        <v>6.0900000000000007</v>
      </c>
      <c r="O25" s="1">
        <f t="shared" si="0"/>
        <v>0.14499999999999999</v>
      </c>
      <c r="P25" s="1">
        <f t="shared" si="2"/>
        <v>1.7400000000000002E-2</v>
      </c>
      <c r="R25" s="8">
        <f>VLOOKUP(R$2,'Materia prima'!$B:$J,2,0)*H25</f>
        <v>679.46999999999991</v>
      </c>
      <c r="S25" s="8">
        <f>VLOOKUP(S$2,'Materia prima'!$B:$J,2,0)*I25</f>
        <v>0</v>
      </c>
      <c r="T25" s="8">
        <f>VLOOKUP(T$2,'Materia prima'!$B:$J,2,0)*J25</f>
        <v>20</v>
      </c>
      <c r="U25" s="8">
        <f t="shared" si="6"/>
        <v>0</v>
      </c>
      <c r="V25" s="8">
        <f>VLOOKUP(V$2,'Materia prima'!$B:$J,2,0)*L25/1000</f>
        <v>0</v>
      </c>
      <c r="W25" s="8">
        <f>VLOOKUP(W$2,'Materia prima'!$B:$J,2,0)*N25</f>
        <v>913.50000000000011</v>
      </c>
      <c r="X25" s="8">
        <f>VLOOKUP(X$2,'Materia prima'!$B:$J,2,0)*O25</f>
        <v>24.65</v>
      </c>
      <c r="Y25" s="8">
        <f>VLOOKUP(Y$2,'Materia prima'!$B:$J,2,0)*P25</f>
        <v>313.20000000000005</v>
      </c>
      <c r="Z25" s="8">
        <f>VLOOKUP(Z$2,'Materia prima'!$B:$J,2,0)*M25/60</f>
        <v>3500</v>
      </c>
      <c r="AA25" s="8">
        <f t="shared" si="7"/>
        <v>1950.8200000000002</v>
      </c>
      <c r="AB25" s="5">
        <f t="shared" si="8"/>
        <v>5450.82</v>
      </c>
      <c r="AC25" s="5">
        <f t="shared" si="3"/>
        <v>5900</v>
      </c>
      <c r="AD25" s="5">
        <f t="shared" si="4"/>
        <v>1.0824059499304692</v>
      </c>
      <c r="AF25" s="19">
        <f t="shared" si="9"/>
        <v>0.64210522453502417</v>
      </c>
      <c r="AG25" s="19">
        <f t="shared" si="10"/>
        <v>3.0828984734624418</v>
      </c>
      <c r="AH25" s="19">
        <f t="shared" si="11"/>
        <v>0.46124803240613366</v>
      </c>
      <c r="AI25" s="8">
        <f t="shared" si="12"/>
        <v>6014.18</v>
      </c>
      <c r="AJ25" s="19">
        <f t="shared" si="13"/>
        <v>0.75507595731324539</v>
      </c>
    </row>
    <row r="26" spans="1:36" x14ac:dyDescent="0.3">
      <c r="A26" s="6" t="s">
        <v>187</v>
      </c>
      <c r="B26" s="2" t="s">
        <v>186</v>
      </c>
      <c r="E26" s="8">
        <f t="shared" si="5"/>
        <v>8400</v>
      </c>
      <c r="F26" s="13">
        <f>+E26*(1+'Materia prima'!$B$1)</f>
        <v>11340</v>
      </c>
      <c r="H26" s="1">
        <v>110</v>
      </c>
      <c r="I26" s="1">
        <v>0</v>
      </c>
      <c r="J26" s="1">
        <v>1.5</v>
      </c>
      <c r="K26" s="1">
        <v>0</v>
      </c>
      <c r="L26" s="1">
        <v>0</v>
      </c>
      <c r="M26" s="1">
        <v>45</v>
      </c>
      <c r="N26" s="16">
        <f t="shared" si="1"/>
        <v>7.7000000000000011</v>
      </c>
      <c r="O26" s="1">
        <f t="shared" si="0"/>
        <v>0.18333333333333332</v>
      </c>
      <c r="P26" s="1">
        <f t="shared" si="2"/>
        <v>2.2000000000000002E-2</v>
      </c>
      <c r="R26" s="8">
        <f>VLOOKUP(R$2,'Materia prima'!$B:$J,2,0)*H26</f>
        <v>859.09999999999991</v>
      </c>
      <c r="S26" s="8">
        <f>VLOOKUP(S$2,'Materia prima'!$B:$J,2,0)*I26</f>
        <v>0</v>
      </c>
      <c r="T26" s="8">
        <f>VLOOKUP(T$2,'Materia prima'!$B:$J,2,0)*J26</f>
        <v>150</v>
      </c>
      <c r="U26" s="8">
        <f t="shared" si="6"/>
        <v>0</v>
      </c>
      <c r="V26" s="8">
        <f>VLOOKUP(V$2,'Materia prima'!$B:$J,2,0)*L26/1000</f>
        <v>0</v>
      </c>
      <c r="W26" s="8">
        <f>VLOOKUP(W$2,'Materia prima'!$B:$J,2,0)*N26</f>
        <v>1155.0000000000002</v>
      </c>
      <c r="X26" s="8">
        <f>VLOOKUP(X$2,'Materia prima'!$B:$J,2,0)*O26</f>
        <v>31.166666666666664</v>
      </c>
      <c r="Y26" s="8">
        <f>VLOOKUP(Y$2,'Materia prima'!$B:$J,2,0)*P26</f>
        <v>396.00000000000006</v>
      </c>
      <c r="Z26" s="8">
        <f>VLOOKUP(Z$2,'Materia prima'!$B:$J,2,0)*M26/60</f>
        <v>5250</v>
      </c>
      <c r="AA26" s="8">
        <f t="shared" si="7"/>
        <v>2591.2666666666669</v>
      </c>
      <c r="AB26" s="5">
        <f t="shared" si="8"/>
        <v>7841.2666666666664</v>
      </c>
      <c r="AC26" s="5">
        <f t="shared" si="3"/>
        <v>8400</v>
      </c>
      <c r="AD26" s="5">
        <f t="shared" si="4"/>
        <v>1.0712554944354229</v>
      </c>
      <c r="AF26" s="19">
        <f t="shared" si="9"/>
        <v>0.66953468402213934</v>
      </c>
      <c r="AG26" s="19">
        <f t="shared" si="10"/>
        <v>3.3762381332167015</v>
      </c>
      <c r="AH26" s="19">
        <f t="shared" si="11"/>
        <v>0.44619491748782081</v>
      </c>
      <c r="AI26" s="8">
        <f t="shared" si="12"/>
        <v>8748.7333333333336</v>
      </c>
      <c r="AJ26" s="19">
        <f t="shared" si="13"/>
        <v>0.77149323927101709</v>
      </c>
    </row>
    <row r="27" spans="1:36" x14ac:dyDescent="0.3">
      <c r="A27" s="6" t="s">
        <v>188</v>
      </c>
      <c r="B27" s="2" t="s">
        <v>26</v>
      </c>
      <c r="E27" s="8">
        <f t="shared" si="5"/>
        <v>5400</v>
      </c>
      <c r="F27" s="13">
        <f>+E27*(1+'Materia prima'!$B$1)</f>
        <v>7290.0000000000009</v>
      </c>
      <c r="H27" s="1">
        <v>60</v>
      </c>
      <c r="I27" s="1">
        <v>0</v>
      </c>
      <c r="J27" s="1">
        <v>1.5</v>
      </c>
      <c r="K27" s="1">
        <v>0</v>
      </c>
      <c r="L27" s="1">
        <v>0</v>
      </c>
      <c r="M27" s="1">
        <v>30</v>
      </c>
      <c r="N27" s="16">
        <f t="shared" si="1"/>
        <v>4.2</v>
      </c>
      <c r="O27" s="1">
        <f t="shared" si="0"/>
        <v>9.9999999999999992E-2</v>
      </c>
      <c r="P27" s="1">
        <f t="shared" si="2"/>
        <v>1.2E-2</v>
      </c>
      <c r="R27" s="8">
        <f>VLOOKUP(R$2,'Materia prima'!$B:$J,2,0)*H27</f>
        <v>468.59999999999997</v>
      </c>
      <c r="S27" s="8">
        <f>VLOOKUP(S$2,'Materia prima'!$B:$J,2,0)*I27</f>
        <v>0</v>
      </c>
      <c r="T27" s="8">
        <f>VLOOKUP(T$2,'Materia prima'!$B:$J,2,0)*J27</f>
        <v>150</v>
      </c>
      <c r="U27" s="8">
        <f t="shared" si="6"/>
        <v>0</v>
      </c>
      <c r="V27" s="8">
        <f>VLOOKUP(V$2,'Materia prima'!$B:$J,2,0)*L27/1000</f>
        <v>0</v>
      </c>
      <c r="W27" s="8">
        <f>VLOOKUP(W$2,'Materia prima'!$B:$J,2,0)*N27</f>
        <v>630</v>
      </c>
      <c r="X27" s="8">
        <f>VLOOKUP(X$2,'Materia prima'!$B:$J,2,0)*O27</f>
        <v>17</v>
      </c>
      <c r="Y27" s="8">
        <f>VLOOKUP(Y$2,'Materia prima'!$B:$J,2,0)*P27</f>
        <v>216</v>
      </c>
      <c r="Z27" s="8">
        <f>VLOOKUP(Z$2,'Materia prima'!$B:$J,2,0)*M27/60</f>
        <v>3500</v>
      </c>
      <c r="AA27" s="8">
        <f t="shared" si="7"/>
        <v>1481.6</v>
      </c>
      <c r="AB27" s="5">
        <f t="shared" si="8"/>
        <v>4981.6000000000004</v>
      </c>
      <c r="AC27" s="5">
        <f t="shared" si="3"/>
        <v>5400</v>
      </c>
      <c r="AD27" s="5">
        <f t="shared" si="4"/>
        <v>1.0839890798137144</v>
      </c>
      <c r="AF27" s="19">
        <f t="shared" si="9"/>
        <v>0.70258551469407415</v>
      </c>
      <c r="AG27" s="19">
        <f t="shared" si="10"/>
        <v>3.920356371490282</v>
      </c>
      <c r="AH27" s="19">
        <f t="shared" si="11"/>
        <v>0.46338525774851469</v>
      </c>
      <c r="AI27" s="8">
        <f t="shared" si="12"/>
        <v>5808.4000000000015</v>
      </c>
      <c r="AJ27" s="19">
        <f t="shared" si="13"/>
        <v>0.79676268861454058</v>
      </c>
    </row>
    <row r="28" spans="1:36" x14ac:dyDescent="0.3">
      <c r="A28" s="6" t="s">
        <v>189</v>
      </c>
      <c r="B28" s="2" t="s">
        <v>190</v>
      </c>
      <c r="E28" s="8">
        <f t="shared" si="5"/>
        <v>5300</v>
      </c>
      <c r="F28" s="13">
        <f>+E28*(1+'Materia prima'!$B$1)</f>
        <v>7155.0000000000009</v>
      </c>
      <c r="H28" s="1">
        <v>55</v>
      </c>
      <c r="I28" s="1">
        <v>0</v>
      </c>
      <c r="J28" s="1">
        <v>1.5</v>
      </c>
      <c r="K28" s="1">
        <v>0</v>
      </c>
      <c r="L28" s="1">
        <v>0</v>
      </c>
      <c r="M28" s="1">
        <v>30</v>
      </c>
      <c r="N28" s="16">
        <f t="shared" si="1"/>
        <v>3.8500000000000005</v>
      </c>
      <c r="O28" s="1">
        <f t="shared" si="0"/>
        <v>9.166666666666666E-2</v>
      </c>
      <c r="P28" s="1">
        <f t="shared" si="2"/>
        <v>1.1000000000000001E-2</v>
      </c>
      <c r="R28" s="8">
        <f>VLOOKUP(R$2,'Materia prima'!$B:$J,2,0)*H28</f>
        <v>429.54999999999995</v>
      </c>
      <c r="S28" s="8">
        <f>VLOOKUP(S$2,'Materia prima'!$B:$J,2,0)*I28</f>
        <v>0</v>
      </c>
      <c r="T28" s="8">
        <f>VLOOKUP(T$2,'Materia prima'!$B:$J,2,0)*J28</f>
        <v>150</v>
      </c>
      <c r="U28" s="8">
        <f t="shared" si="6"/>
        <v>0</v>
      </c>
      <c r="V28" s="8">
        <f>VLOOKUP(V$2,'Materia prima'!$B:$J,2,0)*L28/1000</f>
        <v>0</v>
      </c>
      <c r="W28" s="8">
        <f>VLOOKUP(W$2,'Materia prima'!$B:$J,2,0)*N28</f>
        <v>577.50000000000011</v>
      </c>
      <c r="X28" s="8">
        <f>VLOOKUP(X$2,'Materia prima'!$B:$J,2,0)*O28</f>
        <v>15.583333333333332</v>
      </c>
      <c r="Y28" s="8">
        <f>VLOOKUP(Y$2,'Materia prima'!$B:$J,2,0)*P28</f>
        <v>198.00000000000003</v>
      </c>
      <c r="Z28" s="8">
        <f>VLOOKUP(Z$2,'Materia prima'!$B:$J,2,0)*M28/60</f>
        <v>3500</v>
      </c>
      <c r="AA28" s="8">
        <f t="shared" si="7"/>
        <v>1370.6333333333334</v>
      </c>
      <c r="AB28" s="5">
        <f t="shared" si="8"/>
        <v>4870.6333333333332</v>
      </c>
      <c r="AC28" s="5">
        <f t="shared" si="3"/>
        <v>5300</v>
      </c>
      <c r="AD28" s="5">
        <f t="shared" si="4"/>
        <v>1.0881541757061026</v>
      </c>
      <c r="AF28" s="19">
        <f t="shared" si="9"/>
        <v>0.71859238018327531</v>
      </c>
      <c r="AG28" s="19">
        <f t="shared" si="10"/>
        <v>4.2202144993798489</v>
      </c>
      <c r="AH28" s="19">
        <f t="shared" si="11"/>
        <v>0.46900813720323864</v>
      </c>
      <c r="AI28" s="8">
        <f t="shared" si="12"/>
        <v>5784.3666666666677</v>
      </c>
      <c r="AJ28" s="19">
        <f t="shared" si="13"/>
        <v>0.80843699044956907</v>
      </c>
    </row>
    <row r="29" spans="1:36" x14ac:dyDescent="0.3">
      <c r="A29" s="6" t="s">
        <v>193</v>
      </c>
      <c r="B29" s="2" t="s">
        <v>194</v>
      </c>
      <c r="E29" s="8">
        <f t="shared" si="5"/>
        <v>5000</v>
      </c>
      <c r="F29" s="13">
        <f>+E29*(1+'Materia prima'!$B$1)</f>
        <v>6750</v>
      </c>
      <c r="H29" s="1">
        <v>45</v>
      </c>
      <c r="I29" s="1">
        <v>0</v>
      </c>
      <c r="J29" s="1">
        <v>1.5</v>
      </c>
      <c r="K29" s="1">
        <v>0</v>
      </c>
      <c r="L29" s="1">
        <v>0</v>
      </c>
      <c r="M29" s="1">
        <v>30</v>
      </c>
      <c r="N29" s="16">
        <f t="shared" si="1"/>
        <v>3.1500000000000004</v>
      </c>
      <c r="O29" s="1">
        <f t="shared" si="0"/>
        <v>7.4999999999999997E-2</v>
      </c>
      <c r="P29" s="1">
        <f t="shared" si="2"/>
        <v>9.0000000000000011E-3</v>
      </c>
      <c r="R29" s="8">
        <f>VLOOKUP(R$2,'Materia prima'!$B:$J,2,0)*H29</f>
        <v>351.45</v>
      </c>
      <c r="S29" s="8">
        <f>VLOOKUP(S$2,'Materia prima'!$B:$J,2,0)*I29</f>
        <v>0</v>
      </c>
      <c r="T29" s="8">
        <f>VLOOKUP(T$2,'Materia prima'!$B:$J,2,0)*J29</f>
        <v>150</v>
      </c>
      <c r="U29" s="8">
        <f t="shared" si="6"/>
        <v>0</v>
      </c>
      <c r="V29" s="8">
        <f>VLOOKUP(V$2,'Materia prima'!$B:$J,2,0)*L29/1000</f>
        <v>0</v>
      </c>
      <c r="W29" s="8">
        <f>VLOOKUP(W$2,'Materia prima'!$B:$J,2,0)*N29</f>
        <v>472.50000000000006</v>
      </c>
      <c r="X29" s="8">
        <f>VLOOKUP(X$2,'Materia prima'!$B:$J,2,0)*O29</f>
        <v>12.75</v>
      </c>
      <c r="Y29" s="8">
        <f>VLOOKUP(Y$2,'Materia prima'!$B:$J,2,0)*P29</f>
        <v>162.00000000000003</v>
      </c>
      <c r="Z29" s="8">
        <f>VLOOKUP(Z$2,'Materia prima'!$B:$J,2,0)*M29/60</f>
        <v>3500</v>
      </c>
      <c r="AA29" s="8">
        <f t="shared" si="7"/>
        <v>1148.7</v>
      </c>
      <c r="AB29" s="5">
        <f t="shared" si="8"/>
        <v>4648.7</v>
      </c>
      <c r="AC29" s="5">
        <f t="shared" si="3"/>
        <v>5000</v>
      </c>
      <c r="AD29" s="5">
        <f t="shared" si="4"/>
        <v>1.0755695140576935</v>
      </c>
      <c r="AF29" s="19">
        <f t="shared" si="9"/>
        <v>0.75289865984038551</v>
      </c>
      <c r="AG29" s="19">
        <f t="shared" si="10"/>
        <v>4.8762078871768084</v>
      </c>
      <c r="AH29" s="19">
        <f t="shared" si="11"/>
        <v>0.45201884397788628</v>
      </c>
      <c r="AI29" s="8">
        <f t="shared" si="12"/>
        <v>5601.3</v>
      </c>
      <c r="AJ29" s="19">
        <f t="shared" si="13"/>
        <v>0.82982222222222224</v>
      </c>
    </row>
    <row r="30" spans="1:36" x14ac:dyDescent="0.3">
      <c r="A30" s="6" t="s">
        <v>197</v>
      </c>
      <c r="B30" s="2" t="s">
        <v>195</v>
      </c>
      <c r="E30" s="8">
        <f t="shared" si="5"/>
        <v>4700</v>
      </c>
      <c r="F30" s="13">
        <f>+E30*(1+'Materia prima'!$B$1)</f>
        <v>6345</v>
      </c>
      <c r="H30" s="1">
        <v>85</v>
      </c>
      <c r="I30" s="1">
        <v>0</v>
      </c>
      <c r="J30" s="1">
        <v>1</v>
      </c>
      <c r="K30" s="1">
        <v>0</v>
      </c>
      <c r="L30" s="1">
        <v>0</v>
      </c>
      <c r="M30" s="1">
        <v>20</v>
      </c>
      <c r="N30" s="16">
        <f t="shared" si="1"/>
        <v>5.95</v>
      </c>
      <c r="O30" s="1">
        <f t="shared" si="0"/>
        <v>0.14166666666666666</v>
      </c>
      <c r="P30" s="1">
        <f t="shared" si="2"/>
        <v>1.7000000000000001E-2</v>
      </c>
      <c r="R30" s="8">
        <f>VLOOKUP(R$2,'Materia prima'!$B:$J,2,0)*H30</f>
        <v>663.85</v>
      </c>
      <c r="S30" s="8">
        <f>VLOOKUP(S$2,'Materia prima'!$B:$J,2,0)*I30</f>
        <v>0</v>
      </c>
      <c r="T30" s="8">
        <f>VLOOKUP(T$2,'Materia prima'!$B:$J,2,0)*J30</f>
        <v>100</v>
      </c>
      <c r="U30" s="8">
        <f t="shared" si="6"/>
        <v>0</v>
      </c>
      <c r="V30" s="8">
        <f>VLOOKUP(V$2,'Materia prima'!$B:$J,2,0)*L30/1000</f>
        <v>0</v>
      </c>
      <c r="W30" s="8">
        <f>VLOOKUP(W$2,'Materia prima'!$B:$J,2,0)*N30</f>
        <v>892.5</v>
      </c>
      <c r="X30" s="8">
        <f>VLOOKUP(X$2,'Materia prima'!$B:$J,2,0)*O30</f>
        <v>24.083333333333332</v>
      </c>
      <c r="Y30" s="8">
        <f>VLOOKUP(Y$2,'Materia prima'!$B:$J,2,0)*P30</f>
        <v>306</v>
      </c>
      <c r="Z30" s="8">
        <f>VLOOKUP(Z$2,'Materia prima'!$B:$J,2,0)*M30/60</f>
        <v>2333.3333333333335</v>
      </c>
      <c r="AA30" s="8">
        <f t="shared" si="7"/>
        <v>1986.4333333333332</v>
      </c>
      <c r="AB30" s="5">
        <f t="shared" si="8"/>
        <v>4319.7666666666664</v>
      </c>
      <c r="AC30" s="5">
        <f t="shared" si="3"/>
        <v>4700</v>
      </c>
      <c r="AD30" s="5">
        <f t="shared" si="4"/>
        <v>1.0880217295687267</v>
      </c>
      <c r="AF30" s="19">
        <f t="shared" si="9"/>
        <v>0.54015263170078642</v>
      </c>
      <c r="AG30" s="19">
        <f t="shared" si="10"/>
        <v>2.1941671001627712</v>
      </c>
      <c r="AH30" s="19">
        <f t="shared" si="11"/>
        <v>0.46882933491778123</v>
      </c>
      <c r="AI30" s="8">
        <f t="shared" si="12"/>
        <v>4358.5666666666666</v>
      </c>
      <c r="AJ30" s="19">
        <f t="shared" si="13"/>
        <v>0.68692934068820588</v>
      </c>
    </row>
    <row r="31" spans="1:36" x14ac:dyDescent="0.3">
      <c r="A31" s="6" t="s">
        <v>198</v>
      </c>
      <c r="B31" s="2" t="s">
        <v>196</v>
      </c>
      <c r="E31" s="8">
        <f t="shared" si="5"/>
        <v>3900</v>
      </c>
      <c r="F31" s="13">
        <f>+E31*(1+'Materia prima'!$B$1)</f>
        <v>5265</v>
      </c>
      <c r="H31" s="1">
        <v>53</v>
      </c>
      <c r="I31" s="1">
        <v>0</v>
      </c>
      <c r="J31" s="1">
        <v>1</v>
      </c>
      <c r="K31" s="1">
        <v>0</v>
      </c>
      <c r="L31" s="1">
        <v>0</v>
      </c>
      <c r="M31" s="1">
        <v>20</v>
      </c>
      <c r="N31" s="16">
        <f t="shared" si="1"/>
        <v>3.7100000000000004</v>
      </c>
      <c r="O31" s="1">
        <f t="shared" si="0"/>
        <v>8.8333333333333333E-2</v>
      </c>
      <c r="P31" s="1">
        <f t="shared" si="2"/>
        <v>1.06E-2</v>
      </c>
      <c r="R31" s="8">
        <f>VLOOKUP(R$2,'Materia prima'!$B:$J,2,0)*H31</f>
        <v>413.93</v>
      </c>
      <c r="S31" s="8">
        <f>VLOOKUP(S$2,'Materia prima'!$B:$J,2,0)*I31</f>
        <v>0</v>
      </c>
      <c r="T31" s="8">
        <f>VLOOKUP(T$2,'Materia prima'!$B:$J,2,0)*J31</f>
        <v>100</v>
      </c>
      <c r="U31" s="8">
        <f t="shared" si="6"/>
        <v>0</v>
      </c>
      <c r="V31" s="8">
        <f>VLOOKUP(V$2,'Materia prima'!$B:$J,2,0)*L31/1000</f>
        <v>0</v>
      </c>
      <c r="W31" s="8">
        <f>VLOOKUP(W$2,'Materia prima'!$B:$J,2,0)*N31</f>
        <v>556.50000000000011</v>
      </c>
      <c r="X31" s="8">
        <f>VLOOKUP(X$2,'Materia prima'!$B:$J,2,0)*O31</f>
        <v>15.016666666666667</v>
      </c>
      <c r="Y31" s="8">
        <f>VLOOKUP(Y$2,'Materia prima'!$B:$J,2,0)*P31</f>
        <v>190.8</v>
      </c>
      <c r="Z31" s="8">
        <f>VLOOKUP(Z$2,'Materia prima'!$B:$J,2,0)*M31/60</f>
        <v>2333.3333333333335</v>
      </c>
      <c r="AA31" s="8">
        <f t="shared" si="7"/>
        <v>1276.2466666666669</v>
      </c>
      <c r="AB31" s="5">
        <f t="shared" si="8"/>
        <v>3609.5800000000004</v>
      </c>
      <c r="AC31" s="5">
        <f t="shared" si="3"/>
        <v>3900</v>
      </c>
      <c r="AD31" s="5">
        <f t="shared" si="4"/>
        <v>1.0804581142404379</v>
      </c>
      <c r="AF31" s="19">
        <f t="shared" si="9"/>
        <v>0.6464279315968432</v>
      </c>
      <c r="AG31" s="19">
        <f t="shared" si="10"/>
        <v>3.1253780617122073</v>
      </c>
      <c r="AH31" s="19">
        <f t="shared" si="11"/>
        <v>0.45861845422459102</v>
      </c>
      <c r="AI31" s="8">
        <f t="shared" si="12"/>
        <v>3988.7533333333331</v>
      </c>
      <c r="AJ31" s="19">
        <f t="shared" si="13"/>
        <v>0.75759797404241846</v>
      </c>
    </row>
    <row r="32" spans="1:36" x14ac:dyDescent="0.3">
      <c r="A32" s="6" t="s">
        <v>208</v>
      </c>
      <c r="B32" s="2" t="s">
        <v>209</v>
      </c>
      <c r="E32" s="8">
        <f t="shared" si="5"/>
        <v>3100</v>
      </c>
      <c r="F32" s="13">
        <f>+E32*(1+'Materia prima'!$B$1)</f>
        <v>4185</v>
      </c>
      <c r="H32" s="1">
        <v>17</v>
      </c>
      <c r="I32" s="1">
        <v>0</v>
      </c>
      <c r="J32" s="1">
        <v>1</v>
      </c>
      <c r="K32" s="1">
        <v>0</v>
      </c>
      <c r="L32" s="1">
        <v>0</v>
      </c>
      <c r="M32" s="1">
        <v>20</v>
      </c>
      <c r="N32" s="16">
        <f t="shared" si="1"/>
        <v>1.1900000000000002</v>
      </c>
      <c r="O32" s="1">
        <f t="shared" si="0"/>
        <v>2.8333333333333332E-2</v>
      </c>
      <c r="P32" s="1">
        <f t="shared" si="2"/>
        <v>3.4000000000000002E-3</v>
      </c>
      <c r="R32" s="8">
        <f>VLOOKUP(R$2,'Materia prima'!$B:$J,2,0)*H32</f>
        <v>132.76999999999998</v>
      </c>
      <c r="S32" s="8">
        <f>VLOOKUP(S$2,'Materia prima'!$B:$J,2,0)*I32</f>
        <v>0</v>
      </c>
      <c r="T32" s="8">
        <f>VLOOKUP(T$2,'Materia prima'!$B:$J,2,0)*J32</f>
        <v>100</v>
      </c>
      <c r="U32" s="8">
        <f t="shared" si="6"/>
        <v>0</v>
      </c>
      <c r="V32" s="8">
        <f>VLOOKUP(V$2,'Materia prima'!$B:$J,2,0)*L32/1000</f>
        <v>0</v>
      </c>
      <c r="W32" s="8">
        <f>VLOOKUP(W$2,'Materia prima'!$B:$J,2,0)*N32</f>
        <v>178.50000000000003</v>
      </c>
      <c r="X32" s="8">
        <f>VLOOKUP(X$2,'Materia prima'!$B:$J,2,0)*O32</f>
        <v>4.8166666666666664</v>
      </c>
      <c r="Y32" s="8">
        <f>VLOOKUP(Y$2,'Materia prima'!$B:$J,2,0)*P32</f>
        <v>61.2</v>
      </c>
      <c r="Z32" s="8">
        <f>VLOOKUP(Z$2,'Materia prima'!$B:$J,2,0)*M32/60</f>
        <v>2333.3333333333335</v>
      </c>
      <c r="AA32" s="8">
        <f t="shared" si="7"/>
        <v>477.28666666666663</v>
      </c>
      <c r="AB32" s="5">
        <f t="shared" si="8"/>
        <v>2810.62</v>
      </c>
      <c r="AC32" s="5">
        <f t="shared" si="3"/>
        <v>3100</v>
      </c>
      <c r="AD32" s="5">
        <f t="shared" si="4"/>
        <v>1.1029594893653358</v>
      </c>
      <c r="AF32" s="19">
        <f t="shared" si="9"/>
        <v>0.83018456188788725</v>
      </c>
      <c r="AG32" s="19">
        <f t="shared" si="10"/>
        <v>7.768315338091714</v>
      </c>
      <c r="AH32" s="19">
        <f t="shared" si="11"/>
        <v>0.48899531064320323</v>
      </c>
      <c r="AI32" s="8">
        <f t="shared" si="12"/>
        <v>3707.7133333333331</v>
      </c>
      <c r="AJ32" s="19">
        <f t="shared" si="13"/>
        <v>0.88595300677021105</v>
      </c>
    </row>
    <row r="33" spans="1:36" x14ac:dyDescent="0.3">
      <c r="A33" s="6" t="s">
        <v>210</v>
      </c>
      <c r="B33" s="2" t="s">
        <v>211</v>
      </c>
      <c r="E33" s="8">
        <f t="shared" si="5"/>
        <v>6100</v>
      </c>
      <c r="F33" s="13">
        <f>+E33*(1+'Materia prima'!$B$1)</f>
        <v>8235</v>
      </c>
      <c r="H33" s="1">
        <v>90</v>
      </c>
      <c r="I33" s="1">
        <v>0</v>
      </c>
      <c r="J33" s="1">
        <v>2</v>
      </c>
      <c r="K33" s="1">
        <v>0</v>
      </c>
      <c r="L33" s="1">
        <v>0</v>
      </c>
      <c r="M33" s="1">
        <v>30</v>
      </c>
      <c r="N33" s="16">
        <f t="shared" si="1"/>
        <v>6.3000000000000007</v>
      </c>
      <c r="O33" s="1">
        <f t="shared" si="0"/>
        <v>0.15</v>
      </c>
      <c r="P33" s="1">
        <f t="shared" si="2"/>
        <v>1.8000000000000002E-2</v>
      </c>
      <c r="R33" s="8">
        <f>VLOOKUP(R$2,'Materia prima'!$B:$J,2,0)*H33</f>
        <v>702.9</v>
      </c>
      <c r="S33" s="8">
        <f>VLOOKUP(S$2,'Materia prima'!$B:$J,2,0)*I33</f>
        <v>0</v>
      </c>
      <c r="T33" s="8">
        <f>VLOOKUP(T$2,'Materia prima'!$B:$J,2,0)*J33</f>
        <v>200</v>
      </c>
      <c r="U33" s="8">
        <f t="shared" si="6"/>
        <v>0</v>
      </c>
      <c r="V33" s="8">
        <f>VLOOKUP(V$2,'Materia prima'!$B:$J,2,0)*L33/1000</f>
        <v>0</v>
      </c>
      <c r="W33" s="8">
        <f>VLOOKUP(W$2,'Materia prima'!$B:$J,2,0)*N33</f>
        <v>945.00000000000011</v>
      </c>
      <c r="X33" s="8">
        <f>VLOOKUP(X$2,'Materia prima'!$B:$J,2,0)*O33</f>
        <v>25.5</v>
      </c>
      <c r="Y33" s="8">
        <f>VLOOKUP(Y$2,'Materia prima'!$B:$J,2,0)*P33</f>
        <v>324.00000000000006</v>
      </c>
      <c r="Z33" s="8">
        <f>VLOOKUP(Z$2,'Materia prima'!$B:$J,2,0)*M33/60</f>
        <v>3500</v>
      </c>
      <c r="AA33" s="8">
        <f t="shared" si="7"/>
        <v>2197.4</v>
      </c>
      <c r="AB33" s="5">
        <f t="shared" si="8"/>
        <v>5697.4</v>
      </c>
      <c r="AC33" s="5">
        <f t="shared" si="3"/>
        <v>6100</v>
      </c>
      <c r="AD33" s="5">
        <f t="shared" si="4"/>
        <v>1.0706638115631693</v>
      </c>
      <c r="AF33" s="19">
        <f t="shared" si="9"/>
        <v>0.61431530171657256</v>
      </c>
      <c r="AG33" s="19">
        <f t="shared" si="10"/>
        <v>2.7476108127787384</v>
      </c>
      <c r="AH33" s="19">
        <f t="shared" si="11"/>
        <v>0.4453961456102784</v>
      </c>
      <c r="AI33" s="8">
        <f t="shared" si="12"/>
        <v>6037.6</v>
      </c>
      <c r="AJ33" s="19">
        <f t="shared" si="13"/>
        <v>0.73316332726168798</v>
      </c>
    </row>
    <row r="34" spans="1:36" x14ac:dyDescent="0.3">
      <c r="A34" s="6" t="s">
        <v>215</v>
      </c>
      <c r="B34" s="2" t="s">
        <v>216</v>
      </c>
      <c r="E34" s="8">
        <f t="shared" si="5"/>
        <v>5900</v>
      </c>
      <c r="F34" s="13">
        <f>+E34*(1+'Materia prima'!$B$1)</f>
        <v>7965.0000000000009</v>
      </c>
      <c r="H34" s="1">
        <v>85</v>
      </c>
      <c r="I34" s="1">
        <v>0</v>
      </c>
      <c r="J34" s="1">
        <v>1</v>
      </c>
      <c r="K34" s="1">
        <v>0</v>
      </c>
      <c r="L34" s="1">
        <v>0</v>
      </c>
      <c r="M34" s="1">
        <v>30</v>
      </c>
      <c r="N34" s="16">
        <f t="shared" si="1"/>
        <v>5.95</v>
      </c>
      <c r="O34" s="1">
        <f t="shared" si="0"/>
        <v>0.14166666666666666</v>
      </c>
      <c r="P34" s="1">
        <f t="shared" si="2"/>
        <v>1.7000000000000001E-2</v>
      </c>
      <c r="R34" s="8">
        <f>VLOOKUP(R$2,'Materia prima'!$B:$J,2,0)*H34</f>
        <v>663.85</v>
      </c>
      <c r="S34" s="8">
        <f>VLOOKUP(S$2,'Materia prima'!$B:$J,2,0)*I34</f>
        <v>0</v>
      </c>
      <c r="T34" s="8">
        <f>VLOOKUP(T$2,'Materia prima'!$B:$J,2,0)*J34</f>
        <v>100</v>
      </c>
      <c r="U34" s="8">
        <f t="shared" si="6"/>
        <v>0</v>
      </c>
      <c r="V34" s="8">
        <f>VLOOKUP(V$2,'Materia prima'!$B:$J,2,0)*L34/1000</f>
        <v>0</v>
      </c>
      <c r="W34" s="8">
        <f>VLOOKUP(W$2,'Materia prima'!$B:$J,2,0)*N34</f>
        <v>892.5</v>
      </c>
      <c r="X34" s="8">
        <f>VLOOKUP(X$2,'Materia prima'!$B:$J,2,0)*O34</f>
        <v>24.083333333333332</v>
      </c>
      <c r="Y34" s="8">
        <f>VLOOKUP(Y$2,'Materia prima'!$B:$J,2,0)*P34</f>
        <v>306</v>
      </c>
      <c r="Z34" s="8">
        <f>VLOOKUP(Z$2,'Materia prima'!$B:$J,2,0)*M34/60</f>
        <v>3500</v>
      </c>
      <c r="AA34" s="8">
        <f t="shared" si="7"/>
        <v>1986.4333333333332</v>
      </c>
      <c r="AB34" s="5">
        <f t="shared" si="8"/>
        <v>5486.4333333333334</v>
      </c>
      <c r="AC34" s="5">
        <f t="shared" si="3"/>
        <v>5900</v>
      </c>
      <c r="AD34" s="5">
        <f t="shared" si="4"/>
        <v>1.075379876422448</v>
      </c>
      <c r="AF34" s="19">
        <f t="shared" si="9"/>
        <v>0.63793721482687593</v>
      </c>
      <c r="AG34" s="19">
        <f t="shared" si="10"/>
        <v>3.0096991257362449</v>
      </c>
      <c r="AH34" s="19">
        <f t="shared" si="11"/>
        <v>0.45176283317030519</v>
      </c>
      <c r="AI34" s="8">
        <f t="shared" si="12"/>
        <v>5978.5666666666675</v>
      </c>
      <c r="AJ34" s="19">
        <f t="shared" si="13"/>
        <v>0.75060472902280817</v>
      </c>
    </row>
    <row r="35" spans="1:36" x14ac:dyDescent="0.3">
      <c r="A35" s="6"/>
      <c r="E35" s="8">
        <f t="shared" si="5"/>
        <v>0</v>
      </c>
      <c r="F35" s="13">
        <f>+E35*(1+'Materia prima'!$B$1)</f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6">
        <f t="shared" si="1"/>
        <v>0</v>
      </c>
      <c r="O35" s="1">
        <f t="shared" ref="O35:O66" si="14">IF((H35+I35)&gt;0,O$1*(H35+I35),0)</f>
        <v>0</v>
      </c>
      <c r="P35" s="1">
        <f t="shared" si="2"/>
        <v>0</v>
      </c>
      <c r="R35" s="8">
        <f>VLOOKUP(R$2,'Materia prima'!$B:$J,2,0)*H35</f>
        <v>0</v>
      </c>
      <c r="S35" s="8">
        <f>VLOOKUP(S$2,'Materia prima'!$B:$J,2,0)*I35</f>
        <v>0</v>
      </c>
      <c r="T35" s="8">
        <f>VLOOKUP(T$2,'Materia prima'!$B:$J,2,0)*J35</f>
        <v>0</v>
      </c>
      <c r="U35" s="8">
        <f t="shared" si="6"/>
        <v>0</v>
      </c>
      <c r="V35" s="8">
        <f>VLOOKUP(V$2,'Materia prima'!$B:$J,2,0)*L35/1000</f>
        <v>0</v>
      </c>
      <c r="W35" s="8">
        <f>VLOOKUP(W$2,'Materia prima'!$B:$J,2,0)*N35</f>
        <v>0</v>
      </c>
      <c r="X35" s="8">
        <f>VLOOKUP(X$2,'Materia prima'!$B:$J,2,0)*O35</f>
        <v>0</v>
      </c>
      <c r="Y35" s="8">
        <f>VLOOKUP(Y$2,'Materia prima'!$B:$J,2,0)*P35</f>
        <v>0</v>
      </c>
      <c r="Z35" s="8">
        <f>VLOOKUP(Z$2,'Materia prima'!$B:$J,2,0)*M35/60</f>
        <v>0</v>
      </c>
      <c r="AA35" s="8">
        <f t="shared" si="7"/>
        <v>0</v>
      </c>
      <c r="AB35" s="5">
        <f t="shared" si="8"/>
        <v>0</v>
      </c>
      <c r="AC35" s="5">
        <f t="shared" si="3"/>
        <v>0</v>
      </c>
      <c r="AD35" s="5" t="e">
        <f t="shared" si="4"/>
        <v>#DIV/0!</v>
      </c>
      <c r="AF35" s="19" t="e">
        <f t="shared" si="9"/>
        <v>#DIV/0!</v>
      </c>
      <c r="AG35" s="19" t="e">
        <f t="shared" si="10"/>
        <v>#DIV/0!</v>
      </c>
      <c r="AH35" s="19" t="e">
        <f t="shared" si="11"/>
        <v>#DIV/0!</v>
      </c>
      <c r="AI35" s="8">
        <f t="shared" si="12"/>
        <v>0</v>
      </c>
      <c r="AJ35" s="19" t="e">
        <f t="shared" si="13"/>
        <v>#DIV/0!</v>
      </c>
    </row>
    <row r="36" spans="1:36" x14ac:dyDescent="0.3">
      <c r="A36" s="6"/>
      <c r="E36" s="8">
        <f t="shared" si="5"/>
        <v>0</v>
      </c>
      <c r="F36" s="13">
        <f>+E36*(1+'Materia prima'!$B$1)</f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6">
        <f t="shared" ref="N36:N67" si="15">IF((H36+I36)&gt;0,N$1/100*(H36+I36),0)</f>
        <v>0</v>
      </c>
      <c r="O36" s="1">
        <f t="shared" si="14"/>
        <v>0</v>
      </c>
      <c r="P36" s="1">
        <f t="shared" ref="P36:P67" si="16">IF((H36+I36)&gt;0,P$1*(H36+I36),0)</f>
        <v>0</v>
      </c>
      <c r="R36" s="8">
        <f>VLOOKUP(R$2,'Materia prima'!$B:$J,2,0)*H36</f>
        <v>0</v>
      </c>
      <c r="S36" s="8">
        <f>VLOOKUP(S$2,'Materia prima'!$B:$J,2,0)*I36</f>
        <v>0</v>
      </c>
      <c r="T36" s="8">
        <f>VLOOKUP(T$2,'Materia prima'!$B:$J,2,0)*J36</f>
        <v>0</v>
      </c>
      <c r="U36" s="8">
        <f t="shared" si="6"/>
        <v>0</v>
      </c>
      <c r="V36" s="8">
        <f>VLOOKUP(V$2,'Materia prima'!$B:$J,2,0)*L36/1000</f>
        <v>0</v>
      </c>
      <c r="W36" s="8">
        <f>VLOOKUP(W$2,'Materia prima'!$B:$J,2,0)*N36</f>
        <v>0</v>
      </c>
      <c r="X36" s="8">
        <f>VLOOKUP(X$2,'Materia prima'!$B:$J,2,0)*O36</f>
        <v>0</v>
      </c>
      <c r="Y36" s="8">
        <f>VLOOKUP(Y$2,'Materia prima'!$B:$J,2,0)*P36</f>
        <v>0</v>
      </c>
      <c r="Z36" s="8">
        <f>VLOOKUP(Z$2,'Materia prima'!$B:$J,2,0)*M36/60</f>
        <v>0</v>
      </c>
      <c r="AA36" s="8">
        <f t="shared" si="7"/>
        <v>0</v>
      </c>
      <c r="AB36" s="5">
        <f t="shared" si="8"/>
        <v>0</v>
      </c>
      <c r="AC36" s="5">
        <f t="shared" si="3"/>
        <v>0</v>
      </c>
      <c r="AD36" s="5" t="e">
        <f t="shared" si="4"/>
        <v>#DIV/0!</v>
      </c>
      <c r="AF36" s="19" t="e">
        <f t="shared" si="9"/>
        <v>#DIV/0!</v>
      </c>
      <c r="AG36" s="19" t="e">
        <f t="shared" si="10"/>
        <v>#DIV/0!</v>
      </c>
      <c r="AH36" s="19" t="e">
        <f t="shared" si="11"/>
        <v>#DIV/0!</v>
      </c>
      <c r="AI36" s="8">
        <f t="shared" si="12"/>
        <v>0</v>
      </c>
      <c r="AJ36" s="19" t="e">
        <f t="shared" si="13"/>
        <v>#DIV/0!</v>
      </c>
    </row>
    <row r="37" spans="1:36" x14ac:dyDescent="0.3">
      <c r="A37" s="6"/>
      <c r="E37" s="8">
        <f t="shared" si="5"/>
        <v>0</v>
      </c>
      <c r="F37" s="13">
        <f>+E37*(1+'Materia prima'!$B$1)</f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6">
        <f t="shared" si="15"/>
        <v>0</v>
      </c>
      <c r="O37" s="1">
        <f t="shared" si="14"/>
        <v>0</v>
      </c>
      <c r="P37" s="1">
        <f t="shared" si="16"/>
        <v>0</v>
      </c>
      <c r="R37" s="8">
        <f>VLOOKUP(R$2,'Materia prima'!$B:$J,2,0)*H37</f>
        <v>0</v>
      </c>
      <c r="S37" s="8">
        <f>VLOOKUP(S$2,'Materia prima'!$B:$J,2,0)*I37</f>
        <v>0</v>
      </c>
      <c r="T37" s="8">
        <f>VLOOKUP(T$2,'Materia prima'!$B:$J,2,0)*J37</f>
        <v>0</v>
      </c>
      <c r="U37" s="8">
        <f t="shared" si="6"/>
        <v>0</v>
      </c>
      <c r="V37" s="8">
        <f>VLOOKUP(V$2,'Materia prima'!$B:$J,2,0)*L37/1000</f>
        <v>0</v>
      </c>
      <c r="W37" s="8">
        <f>VLOOKUP(W$2,'Materia prima'!$B:$J,2,0)*N37</f>
        <v>0</v>
      </c>
      <c r="X37" s="8">
        <f>VLOOKUP(X$2,'Materia prima'!$B:$J,2,0)*O37</f>
        <v>0</v>
      </c>
      <c r="Y37" s="8">
        <f>VLOOKUP(Y$2,'Materia prima'!$B:$J,2,0)*P37</f>
        <v>0</v>
      </c>
      <c r="Z37" s="8">
        <f>VLOOKUP(Z$2,'Materia prima'!$B:$J,2,0)*M37/60</f>
        <v>0</v>
      </c>
      <c r="AA37" s="8">
        <f t="shared" si="7"/>
        <v>0</v>
      </c>
      <c r="AB37" s="5">
        <f t="shared" si="8"/>
        <v>0</v>
      </c>
      <c r="AC37" s="5">
        <f t="shared" si="3"/>
        <v>0</v>
      </c>
      <c r="AD37" s="5" t="e">
        <f t="shared" si="4"/>
        <v>#DIV/0!</v>
      </c>
      <c r="AF37" s="19" t="e">
        <f t="shared" si="9"/>
        <v>#DIV/0!</v>
      </c>
      <c r="AG37" s="19" t="e">
        <f t="shared" si="10"/>
        <v>#DIV/0!</v>
      </c>
      <c r="AH37" s="19" t="e">
        <f t="shared" si="11"/>
        <v>#DIV/0!</v>
      </c>
      <c r="AI37" s="8">
        <f t="shared" si="12"/>
        <v>0</v>
      </c>
      <c r="AJ37" s="19" t="e">
        <f t="shared" si="13"/>
        <v>#DIV/0!</v>
      </c>
    </row>
    <row r="38" spans="1:36" x14ac:dyDescent="0.3">
      <c r="A38" s="6"/>
      <c r="E38" s="8">
        <f t="shared" si="5"/>
        <v>0</v>
      </c>
      <c r="F38" s="13">
        <f>+E38*(1+'Materia prima'!$B$1)</f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6">
        <f t="shared" si="15"/>
        <v>0</v>
      </c>
      <c r="O38" s="1">
        <f t="shared" si="14"/>
        <v>0</v>
      </c>
      <c r="P38" s="1">
        <f t="shared" si="16"/>
        <v>0</v>
      </c>
      <c r="R38" s="8">
        <f>VLOOKUP(R$2,'Materia prima'!$B:$J,2,0)*H38</f>
        <v>0</v>
      </c>
      <c r="S38" s="8">
        <f>VLOOKUP(S$2,'Materia prima'!$B:$J,2,0)*I38</f>
        <v>0</v>
      </c>
      <c r="T38" s="8">
        <f>VLOOKUP(T$2,'Materia prima'!$B:$J,2,0)*J38</f>
        <v>0</v>
      </c>
      <c r="U38" s="8">
        <f t="shared" si="6"/>
        <v>0</v>
      </c>
      <c r="V38" s="8">
        <f>VLOOKUP(V$2,'Materia prima'!$B:$J,2,0)*L38/1000</f>
        <v>0</v>
      </c>
      <c r="W38" s="8">
        <f>VLOOKUP(W$2,'Materia prima'!$B:$J,2,0)*N38</f>
        <v>0</v>
      </c>
      <c r="X38" s="8">
        <f>VLOOKUP(X$2,'Materia prima'!$B:$J,2,0)*O38</f>
        <v>0</v>
      </c>
      <c r="Y38" s="8">
        <f>VLOOKUP(Y$2,'Materia prima'!$B:$J,2,0)*P38</f>
        <v>0</v>
      </c>
      <c r="Z38" s="8">
        <f>VLOOKUP(Z$2,'Materia prima'!$B:$J,2,0)*M38/60</f>
        <v>0</v>
      </c>
      <c r="AA38" s="8">
        <f t="shared" si="7"/>
        <v>0</v>
      </c>
      <c r="AB38" s="5">
        <f t="shared" si="8"/>
        <v>0</v>
      </c>
      <c r="AC38" s="5">
        <f t="shared" si="3"/>
        <v>0</v>
      </c>
      <c r="AD38" s="5" t="e">
        <f t="shared" si="4"/>
        <v>#DIV/0!</v>
      </c>
      <c r="AF38" s="19" t="e">
        <f t="shared" si="9"/>
        <v>#DIV/0!</v>
      </c>
      <c r="AG38" s="19" t="e">
        <f t="shared" si="10"/>
        <v>#DIV/0!</v>
      </c>
      <c r="AH38" s="19" t="e">
        <f t="shared" si="11"/>
        <v>#DIV/0!</v>
      </c>
      <c r="AI38" s="8">
        <f t="shared" si="12"/>
        <v>0</v>
      </c>
      <c r="AJ38" s="19" t="e">
        <f t="shared" si="13"/>
        <v>#DIV/0!</v>
      </c>
    </row>
    <row r="39" spans="1:36" x14ac:dyDescent="0.3">
      <c r="A39" s="6"/>
      <c r="E39" s="8">
        <f t="shared" si="5"/>
        <v>0</v>
      </c>
      <c r="F39" s="13">
        <f>+E39*(1+'Materia prima'!$B$1)</f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6">
        <f t="shared" si="15"/>
        <v>0</v>
      </c>
      <c r="O39" s="1">
        <f t="shared" si="14"/>
        <v>0</v>
      </c>
      <c r="P39" s="1">
        <f t="shared" si="16"/>
        <v>0</v>
      </c>
      <c r="R39" s="8">
        <f>VLOOKUP(R$2,'Materia prima'!$B:$J,2,0)*H39</f>
        <v>0</v>
      </c>
      <c r="S39" s="8">
        <f>VLOOKUP(S$2,'Materia prima'!$B:$J,2,0)*I39</f>
        <v>0</v>
      </c>
      <c r="T39" s="8">
        <f>VLOOKUP(T$2,'Materia prima'!$B:$J,2,0)*J39</f>
        <v>0</v>
      </c>
      <c r="U39" s="8">
        <f t="shared" si="6"/>
        <v>0</v>
      </c>
      <c r="V39" s="8">
        <f>VLOOKUP(V$2,'Materia prima'!$B:$J,2,0)*L39/1000</f>
        <v>0</v>
      </c>
      <c r="W39" s="8">
        <f>VLOOKUP(W$2,'Materia prima'!$B:$J,2,0)*N39</f>
        <v>0</v>
      </c>
      <c r="X39" s="8">
        <f>VLOOKUP(X$2,'Materia prima'!$B:$J,2,0)*O39</f>
        <v>0</v>
      </c>
      <c r="Y39" s="8">
        <f>VLOOKUP(Y$2,'Materia prima'!$B:$J,2,0)*P39</f>
        <v>0</v>
      </c>
      <c r="Z39" s="8">
        <f>VLOOKUP(Z$2,'Materia prima'!$B:$J,2,0)*M39/60</f>
        <v>0</v>
      </c>
      <c r="AA39" s="8">
        <f t="shared" si="7"/>
        <v>0</v>
      </c>
      <c r="AB39" s="5">
        <f t="shared" si="8"/>
        <v>0</v>
      </c>
      <c r="AC39" s="5">
        <f t="shared" si="3"/>
        <v>0</v>
      </c>
      <c r="AD39" s="5" t="e">
        <f t="shared" si="4"/>
        <v>#DIV/0!</v>
      </c>
      <c r="AF39" s="19" t="e">
        <f t="shared" si="9"/>
        <v>#DIV/0!</v>
      </c>
      <c r="AG39" s="19" t="e">
        <f t="shared" si="10"/>
        <v>#DIV/0!</v>
      </c>
      <c r="AH39" s="19" t="e">
        <f t="shared" si="11"/>
        <v>#DIV/0!</v>
      </c>
      <c r="AI39" s="8">
        <f t="shared" si="12"/>
        <v>0</v>
      </c>
      <c r="AJ39" s="19" t="e">
        <f t="shared" si="13"/>
        <v>#DIV/0!</v>
      </c>
    </row>
    <row r="40" spans="1:36" x14ac:dyDescent="0.3">
      <c r="E40" s="8">
        <f t="shared" si="5"/>
        <v>0</v>
      </c>
      <c r="F40" s="13">
        <f>+E40*(1+'Materia prima'!$B$1)</f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6">
        <f t="shared" si="15"/>
        <v>0</v>
      </c>
      <c r="O40" s="1">
        <f t="shared" si="14"/>
        <v>0</v>
      </c>
      <c r="P40" s="1">
        <f t="shared" si="16"/>
        <v>0</v>
      </c>
      <c r="R40" s="8">
        <f>VLOOKUP(R$2,'Materia prima'!$B:$J,2,0)*H40</f>
        <v>0</v>
      </c>
      <c r="S40" s="8">
        <f>VLOOKUP(S$2,'Materia prima'!$B:$J,2,0)*I40</f>
        <v>0</v>
      </c>
      <c r="T40" s="8">
        <f>VLOOKUP(T$2,'Materia prima'!$B:$J,2,0)*J40</f>
        <v>0</v>
      </c>
      <c r="U40" s="8">
        <f t="shared" si="6"/>
        <v>0</v>
      </c>
      <c r="V40" s="8">
        <f>VLOOKUP(V$2,'Materia prima'!$B:$J,2,0)*L40/1000</f>
        <v>0</v>
      </c>
      <c r="W40" s="8">
        <f>VLOOKUP(W$2,'Materia prima'!$B:$J,2,0)*N40</f>
        <v>0</v>
      </c>
      <c r="X40" s="8">
        <f>VLOOKUP(X$2,'Materia prima'!$B:$J,2,0)*O40</f>
        <v>0</v>
      </c>
      <c r="Y40" s="8">
        <f>VLOOKUP(Y$2,'Materia prima'!$B:$J,2,0)*P40</f>
        <v>0</v>
      </c>
      <c r="Z40" s="8">
        <f>VLOOKUP(Z$2,'Materia prima'!$B:$J,2,0)*M40/60</f>
        <v>0</v>
      </c>
      <c r="AA40" s="8">
        <f t="shared" si="7"/>
        <v>0</v>
      </c>
      <c r="AB40" s="5">
        <f t="shared" si="8"/>
        <v>0</v>
      </c>
      <c r="AC40" s="5">
        <f t="shared" si="3"/>
        <v>0</v>
      </c>
      <c r="AD40" s="5" t="e">
        <f t="shared" si="4"/>
        <v>#DIV/0!</v>
      </c>
      <c r="AF40" s="19" t="e">
        <f t="shared" si="9"/>
        <v>#DIV/0!</v>
      </c>
      <c r="AG40" s="19" t="e">
        <f t="shared" si="10"/>
        <v>#DIV/0!</v>
      </c>
      <c r="AH40" s="19" t="e">
        <f t="shared" si="11"/>
        <v>#DIV/0!</v>
      </c>
      <c r="AI40" s="8">
        <f t="shared" si="12"/>
        <v>0</v>
      </c>
      <c r="AJ40" s="19" t="e">
        <f t="shared" si="13"/>
        <v>#DIV/0!</v>
      </c>
    </row>
    <row r="41" spans="1:36" x14ac:dyDescent="0.3">
      <c r="E41" s="8">
        <f t="shared" si="5"/>
        <v>0</v>
      </c>
      <c r="F41" s="13">
        <f>+E41*(1+'Materia prima'!$B$1)</f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6">
        <f t="shared" si="15"/>
        <v>0</v>
      </c>
      <c r="O41" s="1">
        <f t="shared" si="14"/>
        <v>0</v>
      </c>
      <c r="P41" s="1">
        <f t="shared" si="16"/>
        <v>0</v>
      </c>
      <c r="R41" s="8">
        <f>VLOOKUP(R$2,'Materia prima'!$B:$J,2,0)*H41</f>
        <v>0</v>
      </c>
      <c r="S41" s="8">
        <f>VLOOKUP(S$2,'Materia prima'!$B:$J,2,0)*I41</f>
        <v>0</v>
      </c>
      <c r="T41" s="8">
        <f>VLOOKUP(T$2,'Materia prima'!$B:$J,2,0)*J41</f>
        <v>0</v>
      </c>
      <c r="U41" s="8">
        <f t="shared" si="6"/>
        <v>0</v>
      </c>
      <c r="V41" s="8">
        <f>VLOOKUP(V$2,'Materia prima'!$B:$J,2,0)*L41/1000</f>
        <v>0</v>
      </c>
      <c r="W41" s="8">
        <f>VLOOKUP(W$2,'Materia prima'!$B:$J,2,0)*N41</f>
        <v>0</v>
      </c>
      <c r="X41" s="8">
        <f>VLOOKUP(X$2,'Materia prima'!$B:$J,2,0)*O41</f>
        <v>0</v>
      </c>
      <c r="Y41" s="8">
        <f>VLOOKUP(Y$2,'Materia prima'!$B:$J,2,0)*P41</f>
        <v>0</v>
      </c>
      <c r="Z41" s="8">
        <f>VLOOKUP(Z$2,'Materia prima'!$B:$J,2,0)*M41/60</f>
        <v>0</v>
      </c>
      <c r="AA41" s="8">
        <f t="shared" si="7"/>
        <v>0</v>
      </c>
      <c r="AB41" s="5">
        <f t="shared" si="8"/>
        <v>0</v>
      </c>
      <c r="AC41" s="5">
        <f t="shared" si="3"/>
        <v>0</v>
      </c>
      <c r="AD41" s="5" t="e">
        <f t="shared" si="4"/>
        <v>#DIV/0!</v>
      </c>
      <c r="AF41" s="19" t="e">
        <f t="shared" si="9"/>
        <v>#DIV/0!</v>
      </c>
      <c r="AG41" s="19" t="e">
        <f t="shared" si="10"/>
        <v>#DIV/0!</v>
      </c>
      <c r="AH41" s="19" t="e">
        <f t="shared" si="11"/>
        <v>#DIV/0!</v>
      </c>
      <c r="AI41" s="8">
        <f t="shared" si="12"/>
        <v>0</v>
      </c>
      <c r="AJ41" s="19" t="e">
        <f t="shared" si="13"/>
        <v>#DIV/0!</v>
      </c>
    </row>
    <row r="42" spans="1:36" x14ac:dyDescent="0.3">
      <c r="A42" s="2" t="s">
        <v>73</v>
      </c>
      <c r="E42" s="8">
        <f t="shared" si="5"/>
        <v>0</v>
      </c>
      <c r="F42" s="13">
        <f>+E42*(1+'Materia prima'!$B$1)</f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6">
        <f t="shared" si="15"/>
        <v>0</v>
      </c>
      <c r="O42" s="1">
        <f t="shared" si="14"/>
        <v>0</v>
      </c>
      <c r="P42" s="1">
        <f t="shared" si="16"/>
        <v>0</v>
      </c>
      <c r="R42" s="8">
        <f>VLOOKUP(R$2,'Materia prima'!$B:$J,2,0)*H42</f>
        <v>0</v>
      </c>
      <c r="S42" s="8">
        <f>VLOOKUP(S$2,'Materia prima'!$B:$J,2,0)*I42</f>
        <v>0</v>
      </c>
      <c r="T42" s="8">
        <f>VLOOKUP(T$2,'Materia prima'!$B:$J,2,0)*J42</f>
        <v>0</v>
      </c>
      <c r="U42" s="8">
        <f t="shared" si="6"/>
        <v>0</v>
      </c>
      <c r="V42" s="8">
        <f>VLOOKUP(V$2,'Materia prima'!$B:$J,2,0)*L42/1000</f>
        <v>0</v>
      </c>
      <c r="W42" s="8">
        <f>VLOOKUP(W$2,'Materia prima'!$B:$J,2,0)*N42</f>
        <v>0</v>
      </c>
      <c r="X42" s="8">
        <f>VLOOKUP(X$2,'Materia prima'!$B:$J,2,0)*O42</f>
        <v>0</v>
      </c>
      <c r="Y42" s="8">
        <f>VLOOKUP(Y$2,'Materia prima'!$B:$J,2,0)*P42</f>
        <v>0</v>
      </c>
      <c r="Z42" s="8">
        <f>VLOOKUP(Z$2,'Materia prima'!$B:$J,2,0)*M42/60</f>
        <v>0</v>
      </c>
      <c r="AA42" s="8">
        <f t="shared" si="7"/>
        <v>0</v>
      </c>
      <c r="AB42" s="5">
        <f t="shared" si="8"/>
        <v>0</v>
      </c>
      <c r="AC42" s="5">
        <f t="shared" si="3"/>
        <v>0</v>
      </c>
      <c r="AD42" s="5" t="e">
        <f t="shared" si="4"/>
        <v>#DIV/0!</v>
      </c>
      <c r="AF42" s="19" t="e">
        <f t="shared" si="9"/>
        <v>#DIV/0!</v>
      </c>
      <c r="AG42" s="19" t="e">
        <f t="shared" si="10"/>
        <v>#DIV/0!</v>
      </c>
      <c r="AH42" s="19" t="e">
        <f t="shared" si="11"/>
        <v>#DIV/0!</v>
      </c>
      <c r="AI42" s="8">
        <f t="shared" si="12"/>
        <v>0</v>
      </c>
      <c r="AJ42" s="19" t="e">
        <f t="shared" si="13"/>
        <v>#DIV/0!</v>
      </c>
    </row>
    <row r="43" spans="1:36" x14ac:dyDescent="0.3">
      <c r="A43" s="6" t="s">
        <v>78</v>
      </c>
      <c r="B43" s="2" t="s">
        <v>18</v>
      </c>
      <c r="C43" s="8">
        <v>1100</v>
      </c>
      <c r="D43" s="2" t="s">
        <v>229</v>
      </c>
      <c r="E43" s="8">
        <f t="shared" si="5"/>
        <v>1200</v>
      </c>
      <c r="F43" s="13">
        <f>+E43*(1+'Materia prima'!$B$1)</f>
        <v>1620</v>
      </c>
      <c r="H43" s="1">
        <v>0</v>
      </c>
      <c r="I43" s="1">
        <v>0</v>
      </c>
      <c r="J43" s="1">
        <v>0</v>
      </c>
      <c r="K43" s="1">
        <v>1</v>
      </c>
      <c r="L43" s="1">
        <v>0</v>
      </c>
      <c r="M43" s="1">
        <v>0</v>
      </c>
      <c r="N43" s="16">
        <f t="shared" si="15"/>
        <v>0</v>
      </c>
      <c r="O43" s="1">
        <f t="shared" si="14"/>
        <v>0</v>
      </c>
      <c r="P43" s="1">
        <f t="shared" si="16"/>
        <v>0</v>
      </c>
      <c r="R43" s="8">
        <f>VLOOKUP(R$2,'Materia prima'!$B:$J,2,0)*H43</f>
        <v>0</v>
      </c>
      <c r="S43" s="8">
        <f>VLOOKUP(S$2,'Materia prima'!$B:$J,2,0)*I43</f>
        <v>0</v>
      </c>
      <c r="T43" s="8">
        <f>VLOOKUP(T$2,'Materia prima'!$B:$J,2,0)*J43</f>
        <v>0</v>
      </c>
      <c r="U43" s="8">
        <f t="shared" si="6"/>
        <v>1100</v>
      </c>
      <c r="V43" s="8">
        <f>VLOOKUP(V$2,'Materia prima'!$B:$J,2,0)*L43/1000</f>
        <v>0</v>
      </c>
      <c r="W43" s="8">
        <f>VLOOKUP(W$2,'Materia prima'!$B:$J,2,0)*N43</f>
        <v>0</v>
      </c>
      <c r="X43" s="8">
        <f>VLOOKUP(X$2,'Materia prima'!$B:$J,2,0)*O43</f>
        <v>0</v>
      </c>
      <c r="Y43" s="8">
        <f>VLOOKUP(Y$2,'Materia prima'!$B:$J,2,0)*P43</f>
        <v>0</v>
      </c>
      <c r="Z43" s="8">
        <f>VLOOKUP(Z$2,'Materia prima'!$B:$J,2,0)*M43/60</f>
        <v>0</v>
      </c>
      <c r="AA43" s="8">
        <f t="shared" si="7"/>
        <v>1100</v>
      </c>
      <c r="AB43" s="5">
        <f t="shared" si="8"/>
        <v>1100</v>
      </c>
      <c r="AC43" s="5">
        <f t="shared" si="3"/>
        <v>1200</v>
      </c>
      <c r="AD43" s="5">
        <f t="shared" si="4"/>
        <v>1.0909090909090908</v>
      </c>
      <c r="AF43" s="19">
        <f t="shared" si="9"/>
        <v>0</v>
      </c>
      <c r="AG43" s="19">
        <f t="shared" si="10"/>
        <v>0.47272727272727266</v>
      </c>
      <c r="AH43" s="19">
        <f t="shared" si="11"/>
        <v>0.47272727272727266</v>
      </c>
      <c r="AI43" s="8">
        <f t="shared" si="12"/>
        <v>520</v>
      </c>
      <c r="AJ43" s="19">
        <f t="shared" si="13"/>
        <v>0.32098765432098764</v>
      </c>
    </row>
    <row r="44" spans="1:36" x14ac:dyDescent="0.3">
      <c r="A44" s="6" t="s">
        <v>79</v>
      </c>
      <c r="B44" s="2" t="s">
        <v>19</v>
      </c>
      <c r="C44" s="8">
        <v>1000</v>
      </c>
      <c r="D44" s="2" t="s">
        <v>229</v>
      </c>
      <c r="E44" s="8">
        <f t="shared" si="5"/>
        <v>1100</v>
      </c>
      <c r="F44" s="13">
        <f>+E44*(1+'Materia prima'!$B$1)</f>
        <v>1485</v>
      </c>
      <c r="H44" s="1">
        <v>0</v>
      </c>
      <c r="I44" s="1">
        <v>0</v>
      </c>
      <c r="J44" s="1">
        <v>0</v>
      </c>
      <c r="K44" s="1">
        <v>1</v>
      </c>
      <c r="L44" s="1">
        <v>0</v>
      </c>
      <c r="M44" s="1">
        <v>0</v>
      </c>
      <c r="N44" s="16">
        <f t="shared" si="15"/>
        <v>0</v>
      </c>
      <c r="O44" s="1">
        <f t="shared" si="14"/>
        <v>0</v>
      </c>
      <c r="P44" s="1">
        <f t="shared" si="16"/>
        <v>0</v>
      </c>
      <c r="R44" s="8">
        <f>VLOOKUP(R$2,'Materia prima'!$B:$J,2,0)*H44</f>
        <v>0</v>
      </c>
      <c r="S44" s="8">
        <f>VLOOKUP(S$2,'Materia prima'!$B:$J,2,0)*I44</f>
        <v>0</v>
      </c>
      <c r="T44" s="8">
        <f>VLOOKUP(T$2,'Materia prima'!$B:$J,2,0)*J44</f>
        <v>0</v>
      </c>
      <c r="U44" s="8">
        <f t="shared" si="6"/>
        <v>1000</v>
      </c>
      <c r="V44" s="8">
        <f>VLOOKUP(V$2,'Materia prima'!$B:$J,2,0)*L44/1000</f>
        <v>0</v>
      </c>
      <c r="W44" s="8">
        <f>VLOOKUP(W$2,'Materia prima'!$B:$J,2,0)*N44</f>
        <v>0</v>
      </c>
      <c r="X44" s="8">
        <f>VLOOKUP(X$2,'Materia prima'!$B:$J,2,0)*O44</f>
        <v>0</v>
      </c>
      <c r="Y44" s="8">
        <f>VLOOKUP(Y$2,'Materia prima'!$B:$J,2,0)*P44</f>
        <v>0</v>
      </c>
      <c r="Z44" s="8">
        <f>VLOOKUP(Z$2,'Materia prima'!$B:$J,2,0)*M44/60</f>
        <v>0</v>
      </c>
      <c r="AA44" s="8">
        <f t="shared" si="7"/>
        <v>1000</v>
      </c>
      <c r="AB44" s="5">
        <f t="shared" si="8"/>
        <v>1000</v>
      </c>
      <c r="AC44" s="5">
        <f t="shared" si="3"/>
        <v>1100</v>
      </c>
      <c r="AD44" s="5">
        <f t="shared" si="4"/>
        <v>1.1000000000000001</v>
      </c>
      <c r="AF44" s="19">
        <f t="shared" si="9"/>
        <v>0</v>
      </c>
      <c r="AG44" s="19">
        <f t="shared" si="10"/>
        <v>0.4850000000000001</v>
      </c>
      <c r="AH44" s="19">
        <f t="shared" si="11"/>
        <v>0.4850000000000001</v>
      </c>
      <c r="AI44" s="8">
        <f t="shared" si="12"/>
        <v>485</v>
      </c>
      <c r="AJ44" s="19">
        <f t="shared" si="13"/>
        <v>0.32659932659932661</v>
      </c>
    </row>
    <row r="45" spans="1:36" x14ac:dyDescent="0.3">
      <c r="A45" s="6" t="s">
        <v>80</v>
      </c>
      <c r="B45" s="2" t="s">
        <v>47</v>
      </c>
      <c r="C45" s="8">
        <f>6000+4000</f>
        <v>10000</v>
      </c>
      <c r="D45" s="2" t="s">
        <v>229</v>
      </c>
      <c r="E45" s="8">
        <f t="shared" si="5"/>
        <v>10700</v>
      </c>
      <c r="F45" s="13">
        <f>+E45*(1+'Materia prima'!$B$1)</f>
        <v>14445.000000000002</v>
      </c>
      <c r="H45" s="1">
        <v>0</v>
      </c>
      <c r="I45" s="1">
        <v>0</v>
      </c>
      <c r="J45" s="1">
        <v>0</v>
      </c>
      <c r="K45" s="1">
        <v>1</v>
      </c>
      <c r="L45" s="1">
        <v>0</v>
      </c>
      <c r="M45" s="1">
        <v>0</v>
      </c>
      <c r="N45" s="16">
        <f t="shared" si="15"/>
        <v>0</v>
      </c>
      <c r="O45" s="1">
        <f t="shared" si="14"/>
        <v>0</v>
      </c>
      <c r="P45" s="1">
        <f t="shared" si="16"/>
        <v>0</v>
      </c>
      <c r="R45" s="8">
        <f>VLOOKUP(R$2,'Materia prima'!$B:$J,2,0)*H45</f>
        <v>0</v>
      </c>
      <c r="S45" s="8">
        <f>VLOOKUP(S$2,'Materia prima'!$B:$J,2,0)*I45</f>
        <v>0</v>
      </c>
      <c r="T45" s="8">
        <f>VLOOKUP(T$2,'Materia prima'!$B:$J,2,0)*J45</f>
        <v>0</v>
      </c>
      <c r="U45" s="8">
        <f t="shared" si="6"/>
        <v>10000</v>
      </c>
      <c r="V45" s="8">
        <f>VLOOKUP(V$2,'Materia prima'!$B:$J,2,0)*L45/1000</f>
        <v>0</v>
      </c>
      <c r="W45" s="8">
        <f>VLOOKUP(W$2,'Materia prima'!$B:$J,2,0)*N45</f>
        <v>0</v>
      </c>
      <c r="X45" s="8">
        <f>VLOOKUP(X$2,'Materia prima'!$B:$J,2,0)*O45</f>
        <v>0</v>
      </c>
      <c r="Y45" s="8">
        <f>VLOOKUP(Y$2,'Materia prima'!$B:$J,2,0)*P45</f>
        <v>0</v>
      </c>
      <c r="Z45" s="8">
        <f>VLOOKUP(Z$2,'Materia prima'!$B:$J,2,0)*M45/60</f>
        <v>0</v>
      </c>
      <c r="AA45" s="8">
        <f t="shared" si="7"/>
        <v>10000</v>
      </c>
      <c r="AB45" s="5">
        <f t="shared" si="8"/>
        <v>10000</v>
      </c>
      <c r="AC45" s="5">
        <f t="shared" si="3"/>
        <v>10700</v>
      </c>
      <c r="AD45" s="5">
        <f t="shared" si="4"/>
        <v>1.07</v>
      </c>
      <c r="AF45" s="19">
        <f t="shared" si="9"/>
        <v>0</v>
      </c>
      <c r="AG45" s="19">
        <f t="shared" si="10"/>
        <v>0.44450000000000012</v>
      </c>
      <c r="AH45" s="19">
        <f t="shared" si="11"/>
        <v>0.44450000000000012</v>
      </c>
      <c r="AI45" s="8">
        <f t="shared" si="12"/>
        <v>4445.0000000000018</v>
      </c>
      <c r="AJ45" s="19">
        <f t="shared" si="13"/>
        <v>0.30771893388715826</v>
      </c>
    </row>
    <row r="46" spans="1:36" x14ac:dyDescent="0.3">
      <c r="A46" s="6" t="s">
        <v>81</v>
      </c>
      <c r="B46" s="2" t="s">
        <v>49</v>
      </c>
      <c r="C46" s="8">
        <v>2200</v>
      </c>
      <c r="D46" s="2" t="s">
        <v>229</v>
      </c>
      <c r="E46" s="8">
        <f t="shared" si="5"/>
        <v>5900</v>
      </c>
      <c r="F46" s="13">
        <f>+E46*(1+'Materia prima'!$B$1)</f>
        <v>7965.0000000000009</v>
      </c>
      <c r="H46" s="1">
        <v>0</v>
      </c>
      <c r="I46" s="1">
        <v>40</v>
      </c>
      <c r="J46" s="1">
        <v>1</v>
      </c>
      <c r="K46" s="1">
        <v>1</v>
      </c>
      <c r="L46" s="1">
        <v>0</v>
      </c>
      <c r="M46" s="1">
        <v>20</v>
      </c>
      <c r="N46" s="16">
        <f t="shared" si="15"/>
        <v>2.8000000000000003</v>
      </c>
      <c r="O46" s="1">
        <f t="shared" si="14"/>
        <v>6.6666666666666666E-2</v>
      </c>
      <c r="P46" s="1">
        <f t="shared" si="16"/>
        <v>8.0000000000000002E-3</v>
      </c>
      <c r="R46" s="8">
        <f>VLOOKUP(R$2,'Materia prima'!$B:$J,2,0)*H46</f>
        <v>0</v>
      </c>
      <c r="S46" s="8">
        <f>VLOOKUP(S$2,'Materia prima'!$B:$J,2,0)*I46</f>
        <v>300</v>
      </c>
      <c r="T46" s="8">
        <f>VLOOKUP(T$2,'Materia prima'!$B:$J,2,0)*J46</f>
        <v>100</v>
      </c>
      <c r="U46" s="8">
        <f t="shared" si="6"/>
        <v>2200</v>
      </c>
      <c r="V46" s="8">
        <f>VLOOKUP(V$2,'Materia prima'!$B:$J,2,0)*L46/1000</f>
        <v>0</v>
      </c>
      <c r="W46" s="8">
        <f>VLOOKUP(W$2,'Materia prima'!$B:$J,2,0)*N46</f>
        <v>420.00000000000006</v>
      </c>
      <c r="X46" s="8">
        <f>VLOOKUP(X$2,'Materia prima'!$B:$J,2,0)*O46</f>
        <v>11.333333333333334</v>
      </c>
      <c r="Y46" s="8">
        <f>VLOOKUP(Y$2,'Materia prima'!$B:$J,2,0)*P46</f>
        <v>144</v>
      </c>
      <c r="Z46" s="8">
        <f>VLOOKUP(Z$2,'Materia prima'!$B:$J,2,0)*M46/60</f>
        <v>2333.3333333333335</v>
      </c>
      <c r="AA46" s="8">
        <f t="shared" si="7"/>
        <v>3175.3333333333335</v>
      </c>
      <c r="AB46" s="5">
        <f t="shared" si="8"/>
        <v>5508.666666666667</v>
      </c>
      <c r="AC46" s="5">
        <f t="shared" si="3"/>
        <v>5900</v>
      </c>
      <c r="AD46" s="5">
        <f t="shared" si="4"/>
        <v>1.0710395740045988</v>
      </c>
      <c r="AF46" s="19">
        <f t="shared" si="9"/>
        <v>0.4235749727701803</v>
      </c>
      <c r="AG46" s="19">
        <f t="shared" si="10"/>
        <v>1.5083980684442579</v>
      </c>
      <c r="AH46" s="19">
        <f t="shared" si="11"/>
        <v>0.44590342490620838</v>
      </c>
      <c r="AI46" s="8">
        <f t="shared" si="12"/>
        <v>4789.6666666666679</v>
      </c>
      <c r="AJ46" s="19">
        <f t="shared" si="13"/>
        <v>0.60133919229964439</v>
      </c>
    </row>
    <row r="47" spans="1:36" x14ac:dyDescent="0.3">
      <c r="A47" s="6" t="s">
        <v>82</v>
      </c>
      <c r="B47" s="2" t="s">
        <v>50</v>
      </c>
      <c r="C47" s="8">
        <v>2600</v>
      </c>
      <c r="D47" s="2" t="s">
        <v>229</v>
      </c>
      <c r="E47" s="8">
        <f t="shared" si="5"/>
        <v>8100</v>
      </c>
      <c r="F47" s="13">
        <f>+E47*(1+'Materia prima'!$B$1)</f>
        <v>10935</v>
      </c>
      <c r="H47" s="1">
        <v>0</v>
      </c>
      <c r="I47" s="1">
        <v>60</v>
      </c>
      <c r="J47" s="1">
        <v>1</v>
      </c>
      <c r="K47" s="1">
        <v>1</v>
      </c>
      <c r="L47" s="1">
        <v>0</v>
      </c>
      <c r="M47" s="1">
        <v>30</v>
      </c>
      <c r="N47" s="16">
        <f t="shared" si="15"/>
        <v>4.2</v>
      </c>
      <c r="O47" s="1">
        <f t="shared" si="14"/>
        <v>9.9999999999999992E-2</v>
      </c>
      <c r="P47" s="1">
        <f t="shared" si="16"/>
        <v>1.2E-2</v>
      </c>
      <c r="R47" s="8">
        <f>VLOOKUP(R$2,'Materia prima'!$B:$J,2,0)*H47</f>
        <v>0</v>
      </c>
      <c r="S47" s="8">
        <f>VLOOKUP(S$2,'Materia prima'!$B:$J,2,0)*I47</f>
        <v>450</v>
      </c>
      <c r="T47" s="8">
        <f>VLOOKUP(T$2,'Materia prima'!$B:$J,2,0)*J47</f>
        <v>100</v>
      </c>
      <c r="U47" s="8">
        <f t="shared" si="6"/>
        <v>2600</v>
      </c>
      <c r="V47" s="8">
        <f>VLOOKUP(V$2,'Materia prima'!$B:$J,2,0)*L47/1000</f>
        <v>0</v>
      </c>
      <c r="W47" s="8">
        <f>VLOOKUP(W$2,'Materia prima'!$B:$J,2,0)*N47</f>
        <v>630</v>
      </c>
      <c r="X47" s="8">
        <f>VLOOKUP(X$2,'Materia prima'!$B:$J,2,0)*O47</f>
        <v>17</v>
      </c>
      <c r="Y47" s="8">
        <f>VLOOKUP(Y$2,'Materia prima'!$B:$J,2,0)*P47</f>
        <v>216</v>
      </c>
      <c r="Z47" s="8">
        <f>VLOOKUP(Z$2,'Materia prima'!$B:$J,2,0)*M47/60</f>
        <v>3500</v>
      </c>
      <c r="AA47" s="8">
        <f t="shared" si="7"/>
        <v>4013</v>
      </c>
      <c r="AB47" s="5">
        <f t="shared" si="8"/>
        <v>7513</v>
      </c>
      <c r="AC47" s="5">
        <f t="shared" si="3"/>
        <v>8100</v>
      </c>
      <c r="AD47" s="5">
        <f t="shared" si="4"/>
        <v>1.0781312391854119</v>
      </c>
      <c r="AF47" s="19">
        <f t="shared" si="9"/>
        <v>0.4658591774257953</v>
      </c>
      <c r="AG47" s="19">
        <f t="shared" si="10"/>
        <v>1.72489409419387</v>
      </c>
      <c r="AH47" s="19">
        <f t="shared" si="11"/>
        <v>0.4554771729003062</v>
      </c>
      <c r="AI47" s="8">
        <f t="shared" si="12"/>
        <v>6922</v>
      </c>
      <c r="AJ47" s="19">
        <f t="shared" si="13"/>
        <v>0.63301326017375403</v>
      </c>
    </row>
    <row r="48" spans="1:36" x14ac:dyDescent="0.3">
      <c r="A48" s="6" t="s">
        <v>83</v>
      </c>
      <c r="B48" s="2" t="s">
        <v>51</v>
      </c>
      <c r="C48" s="8">
        <v>4500</v>
      </c>
      <c r="D48" s="2" t="s">
        <v>229</v>
      </c>
      <c r="E48" s="8">
        <f t="shared" si="5"/>
        <v>10100</v>
      </c>
      <c r="F48" s="13">
        <f>+E48*(1+'Materia prima'!$B$1)</f>
        <v>13635</v>
      </c>
      <c r="H48" s="1">
        <v>0</v>
      </c>
      <c r="I48" s="1">
        <v>60</v>
      </c>
      <c r="J48" s="1">
        <v>1</v>
      </c>
      <c r="K48" s="1">
        <v>1</v>
      </c>
      <c r="L48" s="1">
        <v>0</v>
      </c>
      <c r="M48" s="1">
        <v>30</v>
      </c>
      <c r="N48" s="16">
        <f t="shared" si="15"/>
        <v>4.2</v>
      </c>
      <c r="O48" s="1">
        <f t="shared" si="14"/>
        <v>9.9999999999999992E-2</v>
      </c>
      <c r="P48" s="1">
        <f t="shared" si="16"/>
        <v>1.2E-2</v>
      </c>
      <c r="R48" s="8">
        <f>VLOOKUP(R$2,'Materia prima'!$B:$J,2,0)*H48</f>
        <v>0</v>
      </c>
      <c r="S48" s="8">
        <f>VLOOKUP(S$2,'Materia prima'!$B:$J,2,0)*I48</f>
        <v>450</v>
      </c>
      <c r="T48" s="8">
        <f>VLOOKUP(T$2,'Materia prima'!$B:$J,2,0)*J48</f>
        <v>100</v>
      </c>
      <c r="U48" s="8">
        <f t="shared" si="6"/>
        <v>4500</v>
      </c>
      <c r="V48" s="8">
        <f>VLOOKUP(V$2,'Materia prima'!$B:$J,2,0)*L48/1000</f>
        <v>0</v>
      </c>
      <c r="W48" s="8">
        <f>VLOOKUP(W$2,'Materia prima'!$B:$J,2,0)*N48</f>
        <v>630</v>
      </c>
      <c r="X48" s="8">
        <f>VLOOKUP(X$2,'Materia prima'!$B:$J,2,0)*O48</f>
        <v>17</v>
      </c>
      <c r="Y48" s="8">
        <f>VLOOKUP(Y$2,'Materia prima'!$B:$J,2,0)*P48</f>
        <v>216</v>
      </c>
      <c r="Z48" s="8">
        <f>VLOOKUP(Z$2,'Materia prima'!$B:$J,2,0)*M48/60</f>
        <v>3500</v>
      </c>
      <c r="AA48" s="8">
        <f t="shared" si="7"/>
        <v>5913</v>
      </c>
      <c r="AB48" s="5">
        <f t="shared" si="8"/>
        <v>9413</v>
      </c>
      <c r="AC48" s="5">
        <f t="shared" si="3"/>
        <v>10100</v>
      </c>
      <c r="AD48" s="5">
        <f t="shared" si="4"/>
        <v>1.0729841708275789</v>
      </c>
      <c r="AF48" s="19">
        <f t="shared" si="9"/>
        <v>0.37182619781153725</v>
      </c>
      <c r="AG48" s="19">
        <f t="shared" si="10"/>
        <v>1.3059360730593608</v>
      </c>
      <c r="AH48" s="19">
        <f t="shared" si="11"/>
        <v>0.44852863061723158</v>
      </c>
      <c r="AI48" s="8">
        <f t="shared" si="12"/>
        <v>7722</v>
      </c>
      <c r="AJ48" s="19">
        <f t="shared" si="13"/>
        <v>0.56633663366336628</v>
      </c>
    </row>
    <row r="49" spans="1:36" x14ac:dyDescent="0.3">
      <c r="A49" s="6" t="s">
        <v>84</v>
      </c>
      <c r="B49" s="2" t="s">
        <v>38</v>
      </c>
      <c r="C49" s="8">
        <v>1400</v>
      </c>
      <c r="D49" s="2" t="s">
        <v>229</v>
      </c>
      <c r="E49" s="8">
        <f t="shared" si="5"/>
        <v>1500</v>
      </c>
      <c r="F49" s="13">
        <f>+E49*(1+'Materia prima'!$B$1)</f>
        <v>2025.0000000000002</v>
      </c>
      <c r="H49" s="1">
        <v>0</v>
      </c>
      <c r="I49" s="1">
        <v>0</v>
      </c>
      <c r="J49" s="1">
        <v>0</v>
      </c>
      <c r="K49" s="1">
        <v>1</v>
      </c>
      <c r="L49" s="1">
        <v>0</v>
      </c>
      <c r="M49" s="1">
        <v>0</v>
      </c>
      <c r="N49" s="16">
        <f t="shared" si="15"/>
        <v>0</v>
      </c>
      <c r="O49" s="1">
        <f t="shared" si="14"/>
        <v>0</v>
      </c>
      <c r="P49" s="1">
        <f t="shared" si="16"/>
        <v>0</v>
      </c>
      <c r="R49" s="8">
        <f>VLOOKUP(R$2,'Materia prima'!$B:$J,2,0)*H49</f>
        <v>0</v>
      </c>
      <c r="S49" s="8">
        <f>VLOOKUP(S$2,'Materia prima'!$B:$J,2,0)*I49</f>
        <v>0</v>
      </c>
      <c r="T49" s="8">
        <f>VLOOKUP(T$2,'Materia prima'!$B:$J,2,0)*J49</f>
        <v>0</v>
      </c>
      <c r="U49" s="8">
        <f t="shared" si="6"/>
        <v>1400</v>
      </c>
      <c r="V49" s="8">
        <f>VLOOKUP(V$2,'Materia prima'!$B:$J,2,0)*L49/1000</f>
        <v>0</v>
      </c>
      <c r="W49" s="8">
        <f>VLOOKUP(W$2,'Materia prima'!$B:$J,2,0)*N49</f>
        <v>0</v>
      </c>
      <c r="X49" s="8">
        <f>VLOOKUP(X$2,'Materia prima'!$B:$J,2,0)*O49</f>
        <v>0</v>
      </c>
      <c r="Y49" s="8">
        <f>VLOOKUP(Y$2,'Materia prima'!$B:$J,2,0)*P49</f>
        <v>0</v>
      </c>
      <c r="Z49" s="8">
        <f>VLOOKUP(Z$2,'Materia prima'!$B:$J,2,0)*M49/60</f>
        <v>0</v>
      </c>
      <c r="AA49" s="8">
        <f t="shared" si="7"/>
        <v>1400</v>
      </c>
      <c r="AB49" s="5">
        <f t="shared" si="8"/>
        <v>1400</v>
      </c>
      <c r="AC49" s="5">
        <f t="shared" si="3"/>
        <v>1500</v>
      </c>
      <c r="AD49" s="5">
        <f t="shared" si="4"/>
        <v>1.0714285714285714</v>
      </c>
      <c r="AF49" s="19">
        <f t="shared" si="9"/>
        <v>0</v>
      </c>
      <c r="AG49" s="19">
        <f t="shared" si="10"/>
        <v>0.44642857142857162</v>
      </c>
      <c r="AH49" s="19">
        <f t="shared" si="11"/>
        <v>0.44642857142857162</v>
      </c>
      <c r="AI49" s="8">
        <f t="shared" si="12"/>
        <v>625.00000000000023</v>
      </c>
      <c r="AJ49" s="19">
        <f t="shared" si="13"/>
        <v>0.30864197530864207</v>
      </c>
    </row>
    <row r="50" spans="1:36" x14ac:dyDescent="0.3">
      <c r="A50" s="6" t="s">
        <v>85</v>
      </c>
      <c r="B50" s="2" t="s">
        <v>39</v>
      </c>
      <c r="C50" s="8">
        <v>660</v>
      </c>
      <c r="D50" s="2" t="s">
        <v>229</v>
      </c>
      <c r="E50" s="8">
        <f t="shared" si="5"/>
        <v>5600</v>
      </c>
      <c r="F50" s="13">
        <f>+E50*(1+'Materia prima'!$B$1)</f>
        <v>7560.0000000000009</v>
      </c>
      <c r="H50" s="1">
        <v>0</v>
      </c>
      <c r="I50" s="1">
        <v>42</v>
      </c>
      <c r="J50" s="1">
        <v>1</v>
      </c>
      <c r="K50" s="1">
        <v>1</v>
      </c>
      <c r="L50" s="1">
        <v>0</v>
      </c>
      <c r="M50" s="1">
        <v>30</v>
      </c>
      <c r="N50" s="16">
        <f t="shared" si="15"/>
        <v>2.9400000000000004</v>
      </c>
      <c r="O50" s="1">
        <f t="shared" si="14"/>
        <v>6.9999999999999993E-2</v>
      </c>
      <c r="P50" s="1">
        <f t="shared" si="16"/>
        <v>8.4000000000000012E-3</v>
      </c>
      <c r="R50" s="8">
        <f>VLOOKUP(R$2,'Materia prima'!$B:$J,2,0)*H50</f>
        <v>0</v>
      </c>
      <c r="S50" s="8">
        <f>VLOOKUP(S$2,'Materia prima'!$B:$J,2,0)*I50</f>
        <v>315</v>
      </c>
      <c r="T50" s="8">
        <f>VLOOKUP(T$2,'Materia prima'!$B:$J,2,0)*J50</f>
        <v>100</v>
      </c>
      <c r="U50" s="8">
        <f t="shared" si="6"/>
        <v>660</v>
      </c>
      <c r="V50" s="8">
        <f>VLOOKUP(V$2,'Materia prima'!$B:$J,2,0)*L50/1000</f>
        <v>0</v>
      </c>
      <c r="W50" s="8">
        <f>VLOOKUP(W$2,'Materia prima'!$B:$J,2,0)*N50</f>
        <v>441.00000000000006</v>
      </c>
      <c r="X50" s="8">
        <f>VLOOKUP(X$2,'Materia prima'!$B:$J,2,0)*O50</f>
        <v>11.899999999999999</v>
      </c>
      <c r="Y50" s="8">
        <f>VLOOKUP(Y$2,'Materia prima'!$B:$J,2,0)*P50</f>
        <v>151.20000000000002</v>
      </c>
      <c r="Z50" s="8">
        <f>VLOOKUP(Z$2,'Materia prima'!$B:$J,2,0)*M50/60</f>
        <v>3500</v>
      </c>
      <c r="AA50" s="8">
        <f t="shared" si="7"/>
        <v>1679.1000000000001</v>
      </c>
      <c r="AB50" s="5">
        <f t="shared" si="8"/>
        <v>5179.1000000000004</v>
      </c>
      <c r="AC50" s="5">
        <f t="shared" si="3"/>
        <v>5600</v>
      </c>
      <c r="AD50" s="5">
        <f t="shared" si="4"/>
        <v>1.0812689463420284</v>
      </c>
      <c r="AF50" s="19">
        <f t="shared" si="9"/>
        <v>0.67579309146376776</v>
      </c>
      <c r="AG50" s="19">
        <f t="shared" si="10"/>
        <v>3.5024120064320172</v>
      </c>
      <c r="AH50" s="19">
        <f t="shared" si="11"/>
        <v>0.45971307756173863</v>
      </c>
      <c r="AI50" s="8">
        <f t="shared" si="12"/>
        <v>5880.9000000000005</v>
      </c>
      <c r="AJ50" s="19">
        <f t="shared" si="13"/>
        <v>0.77789682539682536</v>
      </c>
    </row>
    <row r="51" spans="1:36" x14ac:dyDescent="0.3">
      <c r="A51" s="6" t="s">
        <v>86</v>
      </c>
      <c r="B51" s="2" t="s">
        <v>40</v>
      </c>
      <c r="C51" s="8">
        <v>1600</v>
      </c>
      <c r="D51" s="2" t="s">
        <v>229</v>
      </c>
      <c r="E51" s="8">
        <f t="shared" si="5"/>
        <v>1800</v>
      </c>
      <c r="F51" s="13">
        <f>+E51*(1+'Materia prima'!$B$1)</f>
        <v>2430</v>
      </c>
      <c r="H51" s="1">
        <v>0</v>
      </c>
      <c r="I51" s="1">
        <v>0</v>
      </c>
      <c r="J51" s="1">
        <v>0</v>
      </c>
      <c r="K51" s="1">
        <v>1</v>
      </c>
      <c r="L51" s="1">
        <v>0</v>
      </c>
      <c r="M51" s="1">
        <v>0</v>
      </c>
      <c r="N51" s="16">
        <f t="shared" si="15"/>
        <v>0</v>
      </c>
      <c r="O51" s="1">
        <f t="shared" si="14"/>
        <v>0</v>
      </c>
      <c r="P51" s="1">
        <f t="shared" si="16"/>
        <v>0</v>
      </c>
      <c r="R51" s="8">
        <f>VLOOKUP(R$2,'Materia prima'!$B:$J,2,0)*H51</f>
        <v>0</v>
      </c>
      <c r="S51" s="8">
        <f>VLOOKUP(S$2,'Materia prima'!$B:$J,2,0)*I51</f>
        <v>0</v>
      </c>
      <c r="T51" s="8">
        <f>VLOOKUP(T$2,'Materia prima'!$B:$J,2,0)*J51</f>
        <v>0</v>
      </c>
      <c r="U51" s="8">
        <f t="shared" si="6"/>
        <v>1600</v>
      </c>
      <c r="V51" s="8">
        <f>VLOOKUP(V$2,'Materia prima'!$B:$J,2,0)*L51/1000</f>
        <v>0</v>
      </c>
      <c r="W51" s="8">
        <f>VLOOKUP(W$2,'Materia prima'!$B:$J,2,0)*N51</f>
        <v>0</v>
      </c>
      <c r="X51" s="8">
        <f>VLOOKUP(X$2,'Materia prima'!$B:$J,2,0)*O51</f>
        <v>0</v>
      </c>
      <c r="Y51" s="8">
        <f>VLOOKUP(Y$2,'Materia prima'!$B:$J,2,0)*P51</f>
        <v>0</v>
      </c>
      <c r="Z51" s="8">
        <f>VLOOKUP(Z$2,'Materia prima'!$B:$J,2,0)*M51/60</f>
        <v>0</v>
      </c>
      <c r="AA51" s="8">
        <f t="shared" si="7"/>
        <v>1600</v>
      </c>
      <c r="AB51" s="5">
        <f t="shared" si="8"/>
        <v>1600</v>
      </c>
      <c r="AC51" s="5">
        <f t="shared" si="3"/>
        <v>1800</v>
      </c>
      <c r="AD51" s="5">
        <f t="shared" si="4"/>
        <v>1.125</v>
      </c>
      <c r="AF51" s="19">
        <f t="shared" si="9"/>
        <v>0</v>
      </c>
      <c r="AG51" s="19">
        <f t="shared" si="10"/>
        <v>0.51875000000000004</v>
      </c>
      <c r="AH51" s="19">
        <f t="shared" si="11"/>
        <v>0.51875000000000004</v>
      </c>
      <c r="AI51" s="8">
        <f t="shared" si="12"/>
        <v>830</v>
      </c>
      <c r="AJ51" s="19">
        <f t="shared" si="13"/>
        <v>0.34156378600823045</v>
      </c>
    </row>
    <row r="52" spans="1:36" x14ac:dyDescent="0.3">
      <c r="A52" s="6" t="s">
        <v>87</v>
      </c>
      <c r="B52" s="2" t="s">
        <v>192</v>
      </c>
      <c r="C52" s="8">
        <v>1600</v>
      </c>
      <c r="D52" s="2" t="s">
        <v>229</v>
      </c>
      <c r="E52" s="8">
        <f t="shared" si="5"/>
        <v>8200</v>
      </c>
      <c r="F52" s="13">
        <f>+E52*(1+'Materia prima'!$B$1)</f>
        <v>11070</v>
      </c>
      <c r="H52" s="1">
        <v>0</v>
      </c>
      <c r="I52" s="1">
        <v>110</v>
      </c>
      <c r="J52" s="1">
        <v>1</v>
      </c>
      <c r="K52" s="1">
        <v>1</v>
      </c>
      <c r="L52" s="1">
        <v>0</v>
      </c>
      <c r="M52" s="1">
        <v>30</v>
      </c>
      <c r="N52" s="16">
        <f t="shared" si="15"/>
        <v>7.7000000000000011</v>
      </c>
      <c r="O52" s="1">
        <f t="shared" si="14"/>
        <v>0.18333333333333332</v>
      </c>
      <c r="P52" s="1">
        <f t="shared" si="16"/>
        <v>2.2000000000000002E-2</v>
      </c>
      <c r="R52" s="8">
        <f>VLOOKUP(R$2,'Materia prima'!$B:$J,2,0)*H52</f>
        <v>0</v>
      </c>
      <c r="S52" s="8">
        <f>VLOOKUP(S$2,'Materia prima'!$B:$J,2,0)*I52</f>
        <v>825</v>
      </c>
      <c r="T52" s="8">
        <f>VLOOKUP(T$2,'Materia prima'!$B:$J,2,0)*J52</f>
        <v>100</v>
      </c>
      <c r="U52" s="8">
        <f t="shared" si="6"/>
        <v>1600</v>
      </c>
      <c r="V52" s="8">
        <f>VLOOKUP(V$2,'Materia prima'!$B:$J,2,0)*L52/1000</f>
        <v>0</v>
      </c>
      <c r="W52" s="8">
        <f>VLOOKUP(W$2,'Materia prima'!$B:$J,2,0)*N52</f>
        <v>1155.0000000000002</v>
      </c>
      <c r="X52" s="8">
        <f>VLOOKUP(X$2,'Materia prima'!$B:$J,2,0)*O52</f>
        <v>31.166666666666664</v>
      </c>
      <c r="Y52" s="8">
        <f>VLOOKUP(Y$2,'Materia prima'!$B:$J,2,0)*P52</f>
        <v>396.00000000000006</v>
      </c>
      <c r="Z52" s="8">
        <f>VLOOKUP(Z$2,'Materia prima'!$B:$J,2,0)*M52/60</f>
        <v>3500</v>
      </c>
      <c r="AA52" s="8">
        <f t="shared" si="7"/>
        <v>4107.166666666667</v>
      </c>
      <c r="AB52" s="5">
        <f t="shared" si="8"/>
        <v>7607.166666666667</v>
      </c>
      <c r="AC52" s="5">
        <f t="shared" si="3"/>
        <v>8200</v>
      </c>
      <c r="AD52" s="5">
        <f t="shared" si="4"/>
        <v>1.0779308984948404</v>
      </c>
      <c r="AF52" s="19">
        <f t="shared" si="9"/>
        <v>0.460092456674627</v>
      </c>
      <c r="AG52" s="19">
        <f t="shared" si="10"/>
        <v>1.6952887229639249</v>
      </c>
      <c r="AH52" s="19">
        <f t="shared" si="11"/>
        <v>0.45520671296803439</v>
      </c>
      <c r="AI52" s="8">
        <f t="shared" si="12"/>
        <v>6962.833333333333</v>
      </c>
      <c r="AJ52" s="19">
        <f t="shared" si="13"/>
        <v>0.62898223426678712</v>
      </c>
    </row>
    <row r="53" spans="1:36" x14ac:dyDescent="0.3">
      <c r="A53" s="6" t="s">
        <v>88</v>
      </c>
      <c r="B53" s="2" t="s">
        <v>126</v>
      </c>
      <c r="C53" s="8">
        <v>1400</v>
      </c>
      <c r="D53" s="2" t="s">
        <v>229</v>
      </c>
      <c r="E53" s="8">
        <f t="shared" si="5"/>
        <v>6100</v>
      </c>
      <c r="F53" s="13">
        <f>+E53*(1+'Materia prima'!$B$1)</f>
        <v>8235</v>
      </c>
      <c r="H53" s="1">
        <v>0</v>
      </c>
      <c r="I53" s="1">
        <v>55</v>
      </c>
      <c r="J53" s="1">
        <v>1</v>
      </c>
      <c r="K53" s="1">
        <v>1</v>
      </c>
      <c r="L53" s="1">
        <v>0</v>
      </c>
      <c r="M53" s="1">
        <v>25</v>
      </c>
      <c r="N53" s="16">
        <f t="shared" si="15"/>
        <v>3.8500000000000005</v>
      </c>
      <c r="O53" s="1">
        <f t="shared" si="14"/>
        <v>9.166666666666666E-2</v>
      </c>
      <c r="P53" s="1">
        <f t="shared" si="16"/>
        <v>1.1000000000000001E-2</v>
      </c>
      <c r="R53" s="8">
        <f>VLOOKUP(R$2,'Materia prima'!$B:$J,2,0)*H53</f>
        <v>0</v>
      </c>
      <c r="S53" s="8">
        <f>VLOOKUP(S$2,'Materia prima'!$B:$J,2,0)*I53</f>
        <v>412.5</v>
      </c>
      <c r="T53" s="8">
        <f>VLOOKUP(T$2,'Materia prima'!$B:$J,2,0)*J53</f>
        <v>100</v>
      </c>
      <c r="U53" s="8">
        <f t="shared" si="6"/>
        <v>1400</v>
      </c>
      <c r="V53" s="8">
        <f>VLOOKUP(V$2,'Materia prima'!$B:$J,2,0)*L53/1000</f>
        <v>0</v>
      </c>
      <c r="W53" s="8">
        <f>VLOOKUP(W$2,'Materia prima'!$B:$J,2,0)*N53</f>
        <v>577.50000000000011</v>
      </c>
      <c r="X53" s="8">
        <f>VLOOKUP(X$2,'Materia prima'!$B:$J,2,0)*O53</f>
        <v>15.583333333333332</v>
      </c>
      <c r="Y53" s="8">
        <f>VLOOKUP(Y$2,'Materia prima'!$B:$J,2,0)*P53</f>
        <v>198.00000000000003</v>
      </c>
      <c r="Z53" s="8">
        <f>VLOOKUP(Z$2,'Materia prima'!$B:$J,2,0)*M53/60</f>
        <v>2916.6666666666665</v>
      </c>
      <c r="AA53" s="8">
        <f t="shared" si="7"/>
        <v>2703.5833333333335</v>
      </c>
      <c r="AB53" s="5">
        <f t="shared" si="8"/>
        <v>5620.25</v>
      </c>
      <c r="AC53" s="5">
        <f t="shared" si="3"/>
        <v>6100</v>
      </c>
      <c r="AD53" s="5">
        <f t="shared" si="4"/>
        <v>1.0853609714870336</v>
      </c>
      <c r="AF53" s="19">
        <f t="shared" si="9"/>
        <v>0.51895674866183295</v>
      </c>
      <c r="AG53" s="19">
        <f t="shared" si="10"/>
        <v>2.0459575255062723</v>
      </c>
      <c r="AH53" s="19">
        <f t="shared" si="11"/>
        <v>0.46523731150749525</v>
      </c>
      <c r="AI53" s="8">
        <f t="shared" si="12"/>
        <v>5531.4166666666661</v>
      </c>
      <c r="AJ53" s="19">
        <f t="shared" si="13"/>
        <v>0.67169601295284354</v>
      </c>
    </row>
    <row r="54" spans="1:36" x14ac:dyDescent="0.3">
      <c r="A54" s="6" t="s">
        <v>89</v>
      </c>
      <c r="B54" s="2" t="s">
        <v>20</v>
      </c>
      <c r="E54" s="8">
        <f t="shared" si="5"/>
        <v>4200</v>
      </c>
      <c r="F54" s="13">
        <f>+E54*(1+'Materia prima'!$B$1)</f>
        <v>5670</v>
      </c>
      <c r="H54" s="1">
        <v>0</v>
      </c>
      <c r="I54" s="1">
        <v>0</v>
      </c>
      <c r="J54" s="1">
        <v>0</v>
      </c>
      <c r="K54" s="1">
        <v>0</v>
      </c>
      <c r="L54" s="1">
        <v>250</v>
      </c>
      <c r="M54" s="1">
        <v>30</v>
      </c>
      <c r="N54" s="16">
        <f t="shared" si="15"/>
        <v>0</v>
      </c>
      <c r="O54" s="1">
        <f t="shared" si="14"/>
        <v>0</v>
      </c>
      <c r="P54" s="1">
        <f t="shared" si="16"/>
        <v>0</v>
      </c>
      <c r="R54" s="8">
        <f>VLOOKUP(R$2,'Materia prima'!$B:$J,2,0)*H54</f>
        <v>0</v>
      </c>
      <c r="S54" s="8">
        <f>VLOOKUP(S$2,'Materia prima'!$B:$J,2,0)*I54</f>
        <v>0</v>
      </c>
      <c r="T54" s="8">
        <f>VLOOKUP(T$2,'Materia prima'!$B:$J,2,0)*J54</f>
        <v>0</v>
      </c>
      <c r="U54" s="8">
        <f t="shared" si="6"/>
        <v>0</v>
      </c>
      <c r="V54" s="8">
        <f>VLOOKUP(V$2,'Materia prima'!$B:$J,2,0)*L54/1000</f>
        <v>337.5</v>
      </c>
      <c r="W54" s="8">
        <f>VLOOKUP(W$2,'Materia prima'!$B:$J,2,0)*N54</f>
        <v>0</v>
      </c>
      <c r="X54" s="8">
        <f>VLOOKUP(X$2,'Materia prima'!$B:$J,2,0)*O54</f>
        <v>0</v>
      </c>
      <c r="Y54" s="8">
        <f>VLOOKUP(Y$2,'Materia prima'!$B:$J,2,0)*P54</f>
        <v>0</v>
      </c>
      <c r="Z54" s="8">
        <f>VLOOKUP(Z$2,'Materia prima'!$B:$J,2,0)*M54/60</f>
        <v>3500</v>
      </c>
      <c r="AA54" s="8">
        <f t="shared" si="7"/>
        <v>337.5</v>
      </c>
      <c r="AB54" s="5">
        <f t="shared" si="8"/>
        <v>3837.5</v>
      </c>
      <c r="AC54" s="5">
        <f t="shared" si="3"/>
        <v>4200</v>
      </c>
      <c r="AD54" s="5">
        <f t="shared" si="4"/>
        <v>1.0944625407166124</v>
      </c>
      <c r="AF54" s="19">
        <f t="shared" si="9"/>
        <v>0.91205211726384361</v>
      </c>
      <c r="AG54" s="19">
        <f t="shared" si="10"/>
        <v>15.8</v>
      </c>
      <c r="AH54" s="19">
        <f t="shared" si="11"/>
        <v>0.47752442996742661</v>
      </c>
      <c r="AI54" s="8">
        <f t="shared" si="12"/>
        <v>5332.5</v>
      </c>
      <c r="AJ54" s="19">
        <f t="shared" si="13"/>
        <v>0.94047619047619047</v>
      </c>
    </row>
    <row r="55" spans="1:36" x14ac:dyDescent="0.3">
      <c r="A55" s="6" t="s">
        <v>90</v>
      </c>
      <c r="B55" s="2" t="s">
        <v>22</v>
      </c>
      <c r="C55" s="8">
        <v>1200</v>
      </c>
      <c r="D55" s="2" t="s">
        <v>229</v>
      </c>
      <c r="E55" s="8">
        <f t="shared" si="5"/>
        <v>1300</v>
      </c>
      <c r="F55" s="13">
        <f>+E55*(1+'Materia prima'!$B$1)</f>
        <v>1755.0000000000002</v>
      </c>
      <c r="H55" s="1">
        <v>0</v>
      </c>
      <c r="I55" s="1">
        <v>0</v>
      </c>
      <c r="J55" s="1">
        <v>0</v>
      </c>
      <c r="K55" s="1">
        <v>1</v>
      </c>
      <c r="L55" s="1">
        <f>0*160</f>
        <v>0</v>
      </c>
      <c r="M55" s="1">
        <f>0*30</f>
        <v>0</v>
      </c>
      <c r="N55" s="16">
        <f t="shared" si="15"/>
        <v>0</v>
      </c>
      <c r="O55" s="1">
        <f t="shared" si="14"/>
        <v>0</v>
      </c>
      <c r="P55" s="1">
        <f t="shared" si="16"/>
        <v>0</v>
      </c>
      <c r="R55" s="8">
        <f>VLOOKUP(R$2,'Materia prima'!$B:$J,2,0)*H55</f>
        <v>0</v>
      </c>
      <c r="S55" s="8">
        <f>VLOOKUP(S$2,'Materia prima'!$B:$J,2,0)*I55</f>
        <v>0</v>
      </c>
      <c r="T55" s="8">
        <f>VLOOKUP(T$2,'Materia prima'!$B:$J,2,0)*J55</f>
        <v>0</v>
      </c>
      <c r="U55" s="8">
        <f t="shared" si="6"/>
        <v>1200</v>
      </c>
      <c r="V55" s="8">
        <f>VLOOKUP(V$2,'Materia prima'!$B:$J,2,0)*L55/1000</f>
        <v>0</v>
      </c>
      <c r="W55" s="8">
        <f>VLOOKUP(W$2,'Materia prima'!$B:$J,2,0)*N55</f>
        <v>0</v>
      </c>
      <c r="X55" s="8">
        <f>VLOOKUP(X$2,'Materia prima'!$B:$J,2,0)*O55</f>
        <v>0</v>
      </c>
      <c r="Y55" s="8">
        <f>VLOOKUP(Y$2,'Materia prima'!$B:$J,2,0)*P55</f>
        <v>0</v>
      </c>
      <c r="Z55" s="8">
        <f>VLOOKUP(Z$2,'Materia prima'!$B:$J,2,0)*M55/60</f>
        <v>0</v>
      </c>
      <c r="AA55" s="8">
        <f t="shared" si="7"/>
        <v>1200</v>
      </c>
      <c r="AB55" s="5">
        <f t="shared" si="8"/>
        <v>1200</v>
      </c>
      <c r="AC55" s="5">
        <f t="shared" si="3"/>
        <v>1300</v>
      </c>
      <c r="AD55" s="5">
        <f t="shared" si="4"/>
        <v>1.0833333333333333</v>
      </c>
      <c r="AF55" s="19">
        <f t="shared" si="9"/>
        <v>0</v>
      </c>
      <c r="AG55" s="19">
        <f t="shared" si="10"/>
        <v>0.46250000000000013</v>
      </c>
      <c r="AH55" s="19">
        <f t="shared" si="11"/>
        <v>0.46250000000000013</v>
      </c>
      <c r="AI55" s="8">
        <f t="shared" si="12"/>
        <v>555.00000000000023</v>
      </c>
      <c r="AJ55" s="19">
        <f t="shared" si="13"/>
        <v>0.31623931623931634</v>
      </c>
    </row>
    <row r="56" spans="1:36" x14ac:dyDescent="0.3">
      <c r="A56" s="6" t="s">
        <v>91</v>
      </c>
      <c r="B56" s="2" t="s">
        <v>24</v>
      </c>
      <c r="C56" s="8">
        <v>200</v>
      </c>
      <c r="D56" s="2" t="s">
        <v>229</v>
      </c>
      <c r="E56" s="8">
        <f t="shared" si="5"/>
        <v>300</v>
      </c>
      <c r="F56" s="13">
        <f>+E56*(1+'Materia prima'!$B$1)</f>
        <v>405</v>
      </c>
      <c r="H56" s="1">
        <v>0</v>
      </c>
      <c r="I56" s="1">
        <v>0</v>
      </c>
      <c r="J56" s="1">
        <v>0</v>
      </c>
      <c r="K56" s="1">
        <v>1</v>
      </c>
      <c r="L56" s="1">
        <v>0</v>
      </c>
      <c r="M56" s="1">
        <v>0</v>
      </c>
      <c r="N56" s="16">
        <f t="shared" si="15"/>
        <v>0</v>
      </c>
      <c r="O56" s="1">
        <f t="shared" si="14"/>
        <v>0</v>
      </c>
      <c r="P56" s="1">
        <f t="shared" si="16"/>
        <v>0</v>
      </c>
      <c r="R56" s="8">
        <f>VLOOKUP(R$2,'Materia prima'!$B:$J,2,0)*H56</f>
        <v>0</v>
      </c>
      <c r="S56" s="8">
        <f>VLOOKUP(S$2,'Materia prima'!$B:$J,2,0)*I56</f>
        <v>0</v>
      </c>
      <c r="T56" s="8">
        <f>VLOOKUP(T$2,'Materia prima'!$B:$J,2,0)*J56</f>
        <v>0</v>
      </c>
      <c r="U56" s="8">
        <f t="shared" si="6"/>
        <v>200</v>
      </c>
      <c r="V56" s="8">
        <f>VLOOKUP(V$2,'Materia prima'!$B:$J,2,0)*L56/1000</f>
        <v>0</v>
      </c>
      <c r="W56" s="8">
        <f>VLOOKUP(W$2,'Materia prima'!$B:$J,2,0)*N56</f>
        <v>0</v>
      </c>
      <c r="X56" s="8">
        <f>VLOOKUP(X$2,'Materia prima'!$B:$J,2,0)*O56</f>
        <v>0</v>
      </c>
      <c r="Y56" s="8">
        <f>VLOOKUP(Y$2,'Materia prima'!$B:$J,2,0)*P56</f>
        <v>0</v>
      </c>
      <c r="Z56" s="8">
        <f>VLOOKUP(Z$2,'Materia prima'!$B:$J,2,0)*M56/60</f>
        <v>0</v>
      </c>
      <c r="AA56" s="8">
        <f t="shared" si="7"/>
        <v>200</v>
      </c>
      <c r="AB56" s="5">
        <f t="shared" si="8"/>
        <v>200</v>
      </c>
      <c r="AC56" s="5">
        <f t="shared" si="3"/>
        <v>300</v>
      </c>
      <c r="AD56" s="5">
        <f t="shared" si="4"/>
        <v>1.5</v>
      </c>
      <c r="AF56" s="19">
        <f t="shared" si="9"/>
        <v>0</v>
      </c>
      <c r="AG56" s="19">
        <f t="shared" si="10"/>
        <v>1.0249999999999999</v>
      </c>
      <c r="AH56" s="19">
        <f t="shared" si="11"/>
        <v>1.0249999999999999</v>
      </c>
      <c r="AI56" s="8">
        <f t="shared" si="12"/>
        <v>205</v>
      </c>
      <c r="AJ56" s="19">
        <f t="shared" si="13"/>
        <v>0.50617283950617287</v>
      </c>
    </row>
    <row r="57" spans="1:36" x14ac:dyDescent="0.3">
      <c r="A57" s="6" t="s">
        <v>92</v>
      </c>
      <c r="B57" s="2" t="s">
        <v>23</v>
      </c>
      <c r="C57" s="8">
        <v>700</v>
      </c>
      <c r="D57" s="2" t="s">
        <v>229</v>
      </c>
      <c r="E57" s="8">
        <f t="shared" si="5"/>
        <v>800</v>
      </c>
      <c r="F57" s="13">
        <f>+E57*(1+'Materia prima'!$B$1)</f>
        <v>1080</v>
      </c>
      <c r="H57" s="1">
        <v>0</v>
      </c>
      <c r="I57" s="1">
        <v>0</v>
      </c>
      <c r="J57" s="1">
        <v>0</v>
      </c>
      <c r="K57" s="1">
        <v>1</v>
      </c>
      <c r="L57" s="1">
        <v>0</v>
      </c>
      <c r="M57" s="1">
        <v>0</v>
      </c>
      <c r="N57" s="16">
        <f t="shared" si="15"/>
        <v>0</v>
      </c>
      <c r="O57" s="1">
        <f t="shared" si="14"/>
        <v>0</v>
      </c>
      <c r="P57" s="1">
        <f t="shared" si="16"/>
        <v>0</v>
      </c>
      <c r="R57" s="8">
        <f>VLOOKUP(R$2,'Materia prima'!$B:$J,2,0)*H57</f>
        <v>0</v>
      </c>
      <c r="S57" s="8">
        <f>VLOOKUP(S$2,'Materia prima'!$B:$J,2,0)*I57</f>
        <v>0</v>
      </c>
      <c r="T57" s="8">
        <f>VLOOKUP(T$2,'Materia prima'!$B:$J,2,0)*J57</f>
        <v>0</v>
      </c>
      <c r="U57" s="8">
        <f t="shared" si="6"/>
        <v>700</v>
      </c>
      <c r="V57" s="8">
        <f>VLOOKUP(V$2,'Materia prima'!$B:$J,2,0)*L57/1000</f>
        <v>0</v>
      </c>
      <c r="W57" s="8">
        <f>VLOOKUP(W$2,'Materia prima'!$B:$J,2,0)*N57</f>
        <v>0</v>
      </c>
      <c r="X57" s="8">
        <f>VLOOKUP(X$2,'Materia prima'!$B:$J,2,0)*O57</f>
        <v>0</v>
      </c>
      <c r="Y57" s="8">
        <f>VLOOKUP(Y$2,'Materia prima'!$B:$J,2,0)*P57</f>
        <v>0</v>
      </c>
      <c r="Z57" s="8">
        <f>VLOOKUP(Z$2,'Materia prima'!$B:$J,2,0)*M57/60</f>
        <v>0</v>
      </c>
      <c r="AA57" s="8">
        <f t="shared" si="7"/>
        <v>700</v>
      </c>
      <c r="AB57" s="5">
        <f t="shared" si="8"/>
        <v>700</v>
      </c>
      <c r="AC57" s="5">
        <f t="shared" si="3"/>
        <v>800</v>
      </c>
      <c r="AD57" s="5">
        <f t="shared" si="4"/>
        <v>1.1428571428571428</v>
      </c>
      <c r="AF57" s="19">
        <f t="shared" si="9"/>
        <v>0</v>
      </c>
      <c r="AG57" s="19">
        <f t="shared" si="10"/>
        <v>0.54285714285714293</v>
      </c>
      <c r="AH57" s="19">
        <f t="shared" si="11"/>
        <v>0.54285714285714293</v>
      </c>
      <c r="AI57" s="8">
        <f t="shared" si="12"/>
        <v>380</v>
      </c>
      <c r="AJ57" s="19">
        <f t="shared" si="13"/>
        <v>0.35185185185185186</v>
      </c>
    </row>
    <row r="58" spans="1:36" x14ac:dyDescent="0.3">
      <c r="A58" s="6" t="s">
        <v>93</v>
      </c>
      <c r="B58" s="2" t="s">
        <v>36</v>
      </c>
      <c r="C58" s="8">
        <f>CEILING(16000/20,10)</f>
        <v>800</v>
      </c>
      <c r="D58" s="2" t="s">
        <v>229</v>
      </c>
      <c r="E58" s="8">
        <f t="shared" si="5"/>
        <v>900</v>
      </c>
      <c r="F58" s="13">
        <f>+E58*(1+'Materia prima'!$B$1)</f>
        <v>1215</v>
      </c>
      <c r="H58" s="1">
        <v>0</v>
      </c>
      <c r="I58" s="1">
        <v>0</v>
      </c>
      <c r="J58" s="1">
        <v>0</v>
      </c>
      <c r="K58" s="1">
        <v>1</v>
      </c>
      <c r="L58" s="1">
        <v>0</v>
      </c>
      <c r="M58" s="1">
        <v>0</v>
      </c>
      <c r="N58" s="16">
        <f t="shared" si="15"/>
        <v>0</v>
      </c>
      <c r="O58" s="1">
        <f t="shared" si="14"/>
        <v>0</v>
      </c>
      <c r="P58" s="1">
        <f t="shared" si="16"/>
        <v>0</v>
      </c>
      <c r="R58" s="8">
        <f>VLOOKUP(R$2,'Materia prima'!$B:$J,2,0)*H58</f>
        <v>0</v>
      </c>
      <c r="S58" s="8">
        <f>VLOOKUP(S$2,'Materia prima'!$B:$J,2,0)*I58</f>
        <v>0</v>
      </c>
      <c r="T58" s="8">
        <f>VLOOKUP(T$2,'Materia prima'!$B:$J,2,0)*J58</f>
        <v>0</v>
      </c>
      <c r="U58" s="8">
        <f t="shared" si="6"/>
        <v>800</v>
      </c>
      <c r="V58" s="8">
        <f>VLOOKUP(V$2,'Materia prima'!$B:$J,2,0)*L58/1000</f>
        <v>0</v>
      </c>
      <c r="W58" s="8">
        <f>VLOOKUP(W$2,'Materia prima'!$B:$J,2,0)*N58</f>
        <v>0</v>
      </c>
      <c r="X58" s="8">
        <f>VLOOKUP(X$2,'Materia prima'!$B:$J,2,0)*O58</f>
        <v>0</v>
      </c>
      <c r="Y58" s="8">
        <f>VLOOKUP(Y$2,'Materia prima'!$B:$J,2,0)*P58</f>
        <v>0</v>
      </c>
      <c r="Z58" s="8">
        <f>VLOOKUP(Z$2,'Materia prima'!$B:$J,2,0)*M58/60</f>
        <v>0</v>
      </c>
      <c r="AA58" s="8">
        <f t="shared" si="7"/>
        <v>800</v>
      </c>
      <c r="AB58" s="5">
        <f t="shared" si="8"/>
        <v>800</v>
      </c>
      <c r="AC58" s="5">
        <f t="shared" si="3"/>
        <v>900</v>
      </c>
      <c r="AD58" s="5">
        <f t="shared" si="4"/>
        <v>1.125</v>
      </c>
      <c r="AF58" s="19">
        <f t="shared" si="9"/>
        <v>0</v>
      </c>
      <c r="AG58" s="19">
        <f t="shared" si="10"/>
        <v>0.51875000000000004</v>
      </c>
      <c r="AH58" s="19">
        <f t="shared" si="11"/>
        <v>0.51875000000000004</v>
      </c>
      <c r="AI58" s="8">
        <f t="shared" si="12"/>
        <v>415</v>
      </c>
      <c r="AJ58" s="19">
        <f t="shared" si="13"/>
        <v>0.34156378600823045</v>
      </c>
    </row>
    <row r="59" spans="1:36" x14ac:dyDescent="0.3">
      <c r="A59" s="6" t="s">
        <v>116</v>
      </c>
      <c r="B59" s="2" t="s">
        <v>115</v>
      </c>
      <c r="E59" s="8">
        <f t="shared" si="5"/>
        <v>2000</v>
      </c>
      <c r="F59" s="13">
        <f>+E59*(1+'Materia prima'!$B$1)</f>
        <v>2700</v>
      </c>
      <c r="H59" s="1">
        <v>0</v>
      </c>
      <c r="I59" s="1">
        <v>0</v>
      </c>
      <c r="J59" s="1">
        <v>0</v>
      </c>
      <c r="K59" s="1">
        <v>0</v>
      </c>
      <c r="L59" s="1">
        <v>80</v>
      </c>
      <c r="M59" s="1">
        <v>15</v>
      </c>
      <c r="N59" s="16">
        <f t="shared" si="15"/>
        <v>0</v>
      </c>
      <c r="O59" s="1">
        <f t="shared" si="14"/>
        <v>0</v>
      </c>
      <c r="P59" s="1">
        <f t="shared" si="16"/>
        <v>0</v>
      </c>
      <c r="R59" s="8">
        <f>VLOOKUP(R$2,'Materia prima'!$B:$J,2,0)*H59</f>
        <v>0</v>
      </c>
      <c r="S59" s="8">
        <f>VLOOKUP(S$2,'Materia prima'!$B:$J,2,0)*I59</f>
        <v>0</v>
      </c>
      <c r="T59" s="8">
        <f>VLOOKUP(T$2,'Materia prima'!$B:$J,2,0)*J59</f>
        <v>0</v>
      </c>
      <c r="U59" s="8">
        <f t="shared" si="6"/>
        <v>0</v>
      </c>
      <c r="V59" s="8">
        <f>VLOOKUP(V$2,'Materia prima'!$B:$J,2,0)*L59/1000</f>
        <v>108</v>
      </c>
      <c r="W59" s="8">
        <f>VLOOKUP(W$2,'Materia prima'!$B:$J,2,0)*N59</f>
        <v>0</v>
      </c>
      <c r="X59" s="8">
        <f>VLOOKUP(X$2,'Materia prima'!$B:$J,2,0)*O59</f>
        <v>0</v>
      </c>
      <c r="Y59" s="8">
        <f>VLOOKUP(Y$2,'Materia prima'!$B:$J,2,0)*P59</f>
        <v>0</v>
      </c>
      <c r="Z59" s="8">
        <f>VLOOKUP(Z$2,'Materia prima'!$B:$J,2,0)*M59/60</f>
        <v>1750</v>
      </c>
      <c r="AA59" s="8">
        <f t="shared" si="7"/>
        <v>108</v>
      </c>
      <c r="AB59" s="5">
        <f t="shared" si="8"/>
        <v>1858</v>
      </c>
      <c r="AC59" s="5">
        <f t="shared" si="3"/>
        <v>2000</v>
      </c>
      <c r="AD59" s="5">
        <f t="shared" si="4"/>
        <v>1.0764262648008611</v>
      </c>
      <c r="AF59" s="19">
        <f t="shared" si="9"/>
        <v>0.94187298170075351</v>
      </c>
      <c r="AG59" s="19">
        <f t="shared" si="10"/>
        <v>24</v>
      </c>
      <c r="AH59" s="19">
        <f t="shared" si="11"/>
        <v>0.45317545748116261</v>
      </c>
      <c r="AI59" s="8">
        <f t="shared" si="12"/>
        <v>2592</v>
      </c>
      <c r="AJ59" s="19">
        <f t="shared" si="13"/>
        <v>0.96</v>
      </c>
    </row>
    <row r="60" spans="1:36" x14ac:dyDescent="0.3">
      <c r="A60" s="6" t="s">
        <v>117</v>
      </c>
      <c r="B60" s="2" t="s">
        <v>118</v>
      </c>
      <c r="C60" s="8">
        <f>E59</f>
        <v>2000</v>
      </c>
      <c r="D60" s="2" t="s">
        <v>229</v>
      </c>
      <c r="E60" s="8">
        <f t="shared" si="5"/>
        <v>3900</v>
      </c>
      <c r="F60" s="13">
        <f>+E60*(1+'Materia prima'!$B$1)</f>
        <v>5265</v>
      </c>
      <c r="H60" s="1">
        <v>0</v>
      </c>
      <c r="I60" s="1">
        <v>20</v>
      </c>
      <c r="J60" s="1">
        <v>0</v>
      </c>
      <c r="K60" s="1">
        <v>1</v>
      </c>
      <c r="L60" s="1"/>
      <c r="M60" s="1">
        <v>10</v>
      </c>
      <c r="N60" s="16">
        <f t="shared" si="15"/>
        <v>1.4000000000000001</v>
      </c>
      <c r="O60" s="1">
        <f t="shared" si="14"/>
        <v>3.3333333333333333E-2</v>
      </c>
      <c r="P60" s="1">
        <f t="shared" si="16"/>
        <v>4.0000000000000001E-3</v>
      </c>
      <c r="R60" s="8">
        <f>VLOOKUP(R$2,'Materia prima'!$B:$J,2,0)*H60</f>
        <v>0</v>
      </c>
      <c r="S60" s="8">
        <f>VLOOKUP(S$2,'Materia prima'!$B:$J,2,0)*I60</f>
        <v>150</v>
      </c>
      <c r="T60" s="8">
        <f>VLOOKUP(T$2,'Materia prima'!$B:$J,2,0)*J60</f>
        <v>0</v>
      </c>
      <c r="U60" s="8">
        <f t="shared" si="6"/>
        <v>2000</v>
      </c>
      <c r="V60" s="8">
        <f>VLOOKUP(V$2,'Materia prima'!$B:$J,2,0)*L60/1000</f>
        <v>0</v>
      </c>
      <c r="W60" s="8">
        <f>VLOOKUP(W$2,'Materia prima'!$B:$J,2,0)*N60</f>
        <v>210.00000000000003</v>
      </c>
      <c r="X60" s="8">
        <f>VLOOKUP(X$2,'Materia prima'!$B:$J,2,0)*O60</f>
        <v>5.666666666666667</v>
      </c>
      <c r="Y60" s="8">
        <f>VLOOKUP(Y$2,'Materia prima'!$B:$J,2,0)*P60</f>
        <v>72</v>
      </c>
      <c r="Z60" s="8">
        <f>VLOOKUP(Z$2,'Materia prima'!$B:$J,2,0)*M60/60</f>
        <v>1166.6666666666667</v>
      </c>
      <c r="AA60" s="8">
        <f t="shared" si="7"/>
        <v>2437.6666666666665</v>
      </c>
      <c r="AB60" s="5">
        <f t="shared" si="8"/>
        <v>3604.333333333333</v>
      </c>
      <c r="AC60" s="5">
        <f t="shared" si="3"/>
        <v>3900</v>
      </c>
      <c r="AD60" s="5">
        <f t="shared" si="4"/>
        <v>1.0820308887450292</v>
      </c>
      <c r="AF60" s="19">
        <f t="shared" si="9"/>
        <v>0.3236844538980857</v>
      </c>
      <c r="AG60" s="19">
        <f t="shared" si="10"/>
        <v>1.1598523177902367</v>
      </c>
      <c r="AH60" s="19">
        <f t="shared" si="11"/>
        <v>0.46074169980578938</v>
      </c>
      <c r="AI60" s="8">
        <f t="shared" si="12"/>
        <v>2827.3333333333335</v>
      </c>
      <c r="AJ60" s="19">
        <f t="shared" si="13"/>
        <v>0.5370053814498259</v>
      </c>
    </row>
    <row r="61" spans="1:36" x14ac:dyDescent="0.3">
      <c r="A61" s="6" t="s">
        <v>119</v>
      </c>
      <c r="B61" s="2" t="s">
        <v>120</v>
      </c>
      <c r="C61" s="8">
        <f>C55</f>
        <v>1200</v>
      </c>
      <c r="D61" s="2" t="s">
        <v>229</v>
      </c>
      <c r="E61" s="8">
        <f t="shared" si="5"/>
        <v>3100</v>
      </c>
      <c r="F61" s="13">
        <f>+E61*(1+'Materia prima'!$B$1)</f>
        <v>4185</v>
      </c>
      <c r="H61" s="1">
        <v>0</v>
      </c>
      <c r="I61" s="1">
        <v>20</v>
      </c>
      <c r="J61" s="1">
        <v>0</v>
      </c>
      <c r="K61" s="1">
        <v>1</v>
      </c>
      <c r="L61" s="1"/>
      <c r="M61" s="1">
        <v>10</v>
      </c>
      <c r="N61" s="16">
        <f t="shared" si="15"/>
        <v>1.4000000000000001</v>
      </c>
      <c r="O61" s="1">
        <f t="shared" si="14"/>
        <v>3.3333333333333333E-2</v>
      </c>
      <c r="P61" s="1">
        <f t="shared" si="16"/>
        <v>4.0000000000000001E-3</v>
      </c>
      <c r="R61" s="8">
        <f>VLOOKUP(R$2,'Materia prima'!$B:$J,2,0)*H61</f>
        <v>0</v>
      </c>
      <c r="S61" s="8">
        <f>VLOOKUP(S$2,'Materia prima'!$B:$J,2,0)*I61</f>
        <v>150</v>
      </c>
      <c r="T61" s="8">
        <f>VLOOKUP(T$2,'Materia prima'!$B:$J,2,0)*J61</f>
        <v>0</v>
      </c>
      <c r="U61" s="8">
        <f t="shared" si="6"/>
        <v>1200</v>
      </c>
      <c r="V61" s="8">
        <f>VLOOKUP(V$2,'Materia prima'!$B:$J,2,0)*L61/1000</f>
        <v>0</v>
      </c>
      <c r="W61" s="8">
        <f>VLOOKUP(W$2,'Materia prima'!$B:$J,2,0)*N61</f>
        <v>210.00000000000003</v>
      </c>
      <c r="X61" s="8">
        <f>VLOOKUP(X$2,'Materia prima'!$B:$J,2,0)*O61</f>
        <v>5.666666666666667</v>
      </c>
      <c r="Y61" s="8">
        <f>VLOOKUP(Y$2,'Materia prima'!$B:$J,2,0)*P61</f>
        <v>72</v>
      </c>
      <c r="Z61" s="8">
        <f>VLOOKUP(Z$2,'Materia prima'!$B:$J,2,0)*M61/60</f>
        <v>1166.6666666666667</v>
      </c>
      <c r="AA61" s="8">
        <f t="shared" si="7"/>
        <v>1637.6666666666667</v>
      </c>
      <c r="AB61" s="5">
        <f t="shared" si="8"/>
        <v>2804.3333333333335</v>
      </c>
      <c r="AC61" s="5">
        <f t="shared" si="3"/>
        <v>3100</v>
      </c>
      <c r="AD61" s="5">
        <f t="shared" si="4"/>
        <v>1.1054320694163793</v>
      </c>
      <c r="AF61" s="19">
        <f t="shared" si="9"/>
        <v>0.41602282182336858</v>
      </c>
      <c r="AG61" s="19">
        <f t="shared" si="10"/>
        <v>1.5554650926114388</v>
      </c>
      <c r="AH61" s="19">
        <f t="shared" si="11"/>
        <v>0.4923332937121121</v>
      </c>
      <c r="AI61" s="8">
        <f t="shared" si="12"/>
        <v>2547.333333333333</v>
      </c>
      <c r="AJ61" s="19">
        <f t="shared" si="13"/>
        <v>0.60868180007964945</v>
      </c>
    </row>
    <row r="62" spans="1:36" x14ac:dyDescent="0.3">
      <c r="A62" s="6" t="s">
        <v>121</v>
      </c>
      <c r="B62" s="2" t="s">
        <v>122</v>
      </c>
      <c r="C62" s="8">
        <v>1400</v>
      </c>
      <c r="D62" s="2" t="s">
        <v>229</v>
      </c>
      <c r="E62" s="8">
        <f t="shared" si="5"/>
        <v>1500</v>
      </c>
      <c r="F62" s="13">
        <f>+E62*(1+'Materia prima'!$B$1)</f>
        <v>2025.0000000000002</v>
      </c>
      <c r="H62" s="1">
        <v>0</v>
      </c>
      <c r="I62" s="1">
        <v>0</v>
      </c>
      <c r="J62" s="1">
        <v>0</v>
      </c>
      <c r="K62" s="1">
        <v>1</v>
      </c>
      <c r="L62" s="1">
        <v>0</v>
      </c>
      <c r="M62" s="1">
        <v>0</v>
      </c>
      <c r="N62" s="16">
        <f t="shared" si="15"/>
        <v>0</v>
      </c>
      <c r="O62" s="1">
        <f t="shared" si="14"/>
        <v>0</v>
      </c>
      <c r="P62" s="1">
        <f t="shared" si="16"/>
        <v>0</v>
      </c>
      <c r="R62" s="8">
        <f>VLOOKUP(R$2,'Materia prima'!$B:$J,2,0)*H62</f>
        <v>0</v>
      </c>
      <c r="S62" s="8">
        <f>VLOOKUP(S$2,'Materia prima'!$B:$J,2,0)*I62</f>
        <v>0</v>
      </c>
      <c r="T62" s="8">
        <f>VLOOKUP(T$2,'Materia prima'!$B:$J,2,0)*J62</f>
        <v>0</v>
      </c>
      <c r="U62" s="8">
        <f t="shared" si="6"/>
        <v>1400</v>
      </c>
      <c r="V62" s="8">
        <f>VLOOKUP(V$2,'Materia prima'!$B:$J,2,0)*L62/1000</f>
        <v>0</v>
      </c>
      <c r="W62" s="8">
        <f>VLOOKUP(W$2,'Materia prima'!$B:$J,2,0)*N62</f>
        <v>0</v>
      </c>
      <c r="X62" s="8">
        <f>VLOOKUP(X$2,'Materia prima'!$B:$J,2,0)*O62</f>
        <v>0</v>
      </c>
      <c r="Y62" s="8">
        <f>VLOOKUP(Y$2,'Materia prima'!$B:$J,2,0)*P62</f>
        <v>0</v>
      </c>
      <c r="Z62" s="8">
        <f>VLOOKUP(Z$2,'Materia prima'!$B:$J,2,0)*M62/60</f>
        <v>0</v>
      </c>
      <c r="AA62" s="8">
        <f t="shared" si="7"/>
        <v>1400</v>
      </c>
      <c r="AB62" s="5">
        <f t="shared" si="8"/>
        <v>1400</v>
      </c>
      <c r="AC62" s="5">
        <f t="shared" si="3"/>
        <v>1500</v>
      </c>
      <c r="AD62" s="5">
        <f t="shared" si="4"/>
        <v>1.0714285714285714</v>
      </c>
      <c r="AF62" s="19">
        <f t="shared" si="9"/>
        <v>0</v>
      </c>
      <c r="AG62" s="19">
        <f t="shared" si="10"/>
        <v>0.44642857142857162</v>
      </c>
      <c r="AH62" s="19">
        <f t="shared" si="11"/>
        <v>0.44642857142857162</v>
      </c>
      <c r="AI62" s="8">
        <f t="shared" si="12"/>
        <v>625.00000000000023</v>
      </c>
      <c r="AJ62" s="19">
        <f t="shared" si="13"/>
        <v>0.30864197530864207</v>
      </c>
    </row>
    <row r="63" spans="1:36" x14ac:dyDescent="0.3">
      <c r="A63" s="6" t="s">
        <v>128</v>
      </c>
      <c r="B63" s="2" t="s">
        <v>127</v>
      </c>
      <c r="C63" s="8">
        <v>4000</v>
      </c>
      <c r="D63" s="2" t="s">
        <v>229</v>
      </c>
      <c r="E63" s="8">
        <f t="shared" si="5"/>
        <v>9400</v>
      </c>
      <c r="F63" s="13">
        <f>+E63*(1+'Materia prima'!$B$1)</f>
        <v>12690</v>
      </c>
      <c r="H63" s="1">
        <v>0</v>
      </c>
      <c r="I63" s="1">
        <v>50</v>
      </c>
      <c r="J63" s="1">
        <v>1</v>
      </c>
      <c r="K63" s="1">
        <v>1</v>
      </c>
      <c r="L63" s="1">
        <v>0</v>
      </c>
      <c r="M63" s="1">
        <v>30</v>
      </c>
      <c r="N63" s="16">
        <f t="shared" si="15"/>
        <v>3.5000000000000004</v>
      </c>
      <c r="O63" s="1">
        <f t="shared" si="14"/>
        <v>8.3333333333333329E-2</v>
      </c>
      <c r="P63" s="1">
        <f t="shared" si="16"/>
        <v>0.01</v>
      </c>
      <c r="R63" s="8">
        <f>VLOOKUP(R$2,'Materia prima'!$B:$J,2,0)*H63</f>
        <v>0</v>
      </c>
      <c r="S63" s="8">
        <f>VLOOKUP(S$2,'Materia prima'!$B:$J,2,0)*I63</f>
        <v>375</v>
      </c>
      <c r="T63" s="8">
        <f>VLOOKUP(T$2,'Materia prima'!$B:$J,2,0)*J63</f>
        <v>100</v>
      </c>
      <c r="U63" s="8">
        <f t="shared" si="6"/>
        <v>4000</v>
      </c>
      <c r="V63" s="8">
        <f>VLOOKUP(V$2,'Materia prima'!$B:$J,2,0)*L63/1000</f>
        <v>0</v>
      </c>
      <c r="W63" s="8">
        <f>VLOOKUP(W$2,'Materia prima'!$B:$J,2,0)*N63</f>
        <v>525.00000000000011</v>
      </c>
      <c r="X63" s="8">
        <f>VLOOKUP(X$2,'Materia prima'!$B:$J,2,0)*O63</f>
        <v>14.166666666666666</v>
      </c>
      <c r="Y63" s="8">
        <f>VLOOKUP(Y$2,'Materia prima'!$B:$J,2,0)*P63</f>
        <v>180</v>
      </c>
      <c r="Z63" s="8">
        <f>VLOOKUP(Z$2,'Materia prima'!$B:$J,2,0)*M63/60</f>
        <v>3500</v>
      </c>
      <c r="AA63" s="8">
        <f t="shared" si="7"/>
        <v>5194.166666666667</v>
      </c>
      <c r="AB63" s="5">
        <f t="shared" si="8"/>
        <v>8694.1666666666679</v>
      </c>
      <c r="AC63" s="5">
        <f t="shared" si="3"/>
        <v>9400</v>
      </c>
      <c r="AD63" s="5">
        <f t="shared" si="4"/>
        <v>1.0811847023866576</v>
      </c>
      <c r="AF63" s="19">
        <f t="shared" si="9"/>
        <v>0.40256877216524484</v>
      </c>
      <c r="AG63" s="19">
        <f t="shared" si="10"/>
        <v>1.4431253008182252</v>
      </c>
      <c r="AH63" s="19">
        <f t="shared" si="11"/>
        <v>0.45959934822198778</v>
      </c>
      <c r="AI63" s="8">
        <f t="shared" si="12"/>
        <v>7495.833333333333</v>
      </c>
      <c r="AJ63" s="19">
        <f t="shared" si="13"/>
        <v>0.5906882059364329</v>
      </c>
    </row>
    <row r="64" spans="1:36" x14ac:dyDescent="0.3">
      <c r="A64" s="6" t="s">
        <v>141</v>
      </c>
      <c r="B64" s="2" t="s">
        <v>140</v>
      </c>
      <c r="C64" s="8">
        <v>3000</v>
      </c>
      <c r="D64" s="2" t="s">
        <v>229</v>
      </c>
      <c r="E64" s="8">
        <f t="shared" si="5"/>
        <v>9500</v>
      </c>
      <c r="F64" s="13">
        <f>+E64*(1+'Materia prima'!$B$1)</f>
        <v>12825</v>
      </c>
      <c r="H64" s="1">
        <v>0</v>
      </c>
      <c r="I64" s="1">
        <v>100</v>
      </c>
      <c r="J64" s="1">
        <v>1</v>
      </c>
      <c r="K64" s="1">
        <v>1</v>
      </c>
      <c r="L64" s="1">
        <v>0</v>
      </c>
      <c r="M64" s="1">
        <v>30</v>
      </c>
      <c r="N64" s="16">
        <f t="shared" si="15"/>
        <v>7.0000000000000009</v>
      </c>
      <c r="O64" s="1">
        <f t="shared" si="14"/>
        <v>0.16666666666666666</v>
      </c>
      <c r="P64" s="1">
        <f t="shared" si="16"/>
        <v>0.02</v>
      </c>
      <c r="R64" s="8">
        <f>VLOOKUP(R$2,'Materia prima'!$B:$J,2,0)*H64</f>
        <v>0</v>
      </c>
      <c r="S64" s="8">
        <f>VLOOKUP(S$2,'Materia prima'!$B:$J,2,0)*I64</f>
        <v>750</v>
      </c>
      <c r="T64" s="8">
        <f>VLOOKUP(T$2,'Materia prima'!$B:$J,2,0)*J64</f>
        <v>100</v>
      </c>
      <c r="U64" s="8">
        <f t="shared" si="6"/>
        <v>3000</v>
      </c>
      <c r="V64" s="8">
        <f>VLOOKUP(V$2,'Materia prima'!$B:$J,2,0)*L64/1000</f>
        <v>0</v>
      </c>
      <c r="W64" s="8">
        <f>VLOOKUP(W$2,'Materia prima'!$B:$J,2,0)*N64</f>
        <v>1050.0000000000002</v>
      </c>
      <c r="X64" s="8">
        <f>VLOOKUP(X$2,'Materia prima'!$B:$J,2,0)*O64</f>
        <v>28.333333333333332</v>
      </c>
      <c r="Y64" s="8">
        <f>VLOOKUP(Y$2,'Materia prima'!$B:$J,2,0)*P64</f>
        <v>360</v>
      </c>
      <c r="Z64" s="8">
        <f>VLOOKUP(Z$2,'Materia prima'!$B:$J,2,0)*M64/60</f>
        <v>3500</v>
      </c>
      <c r="AA64" s="8">
        <f t="shared" si="7"/>
        <v>5288.333333333333</v>
      </c>
      <c r="AB64" s="5">
        <f t="shared" si="8"/>
        <v>8788.3333333333321</v>
      </c>
      <c r="AC64" s="5">
        <f t="shared" si="3"/>
        <v>9500</v>
      </c>
      <c r="AD64" s="5">
        <f t="shared" si="4"/>
        <v>1.0809785700739618</v>
      </c>
      <c r="AF64" s="19">
        <f t="shared" si="9"/>
        <v>0.39825526265882805</v>
      </c>
      <c r="AG64" s="19">
        <f t="shared" si="10"/>
        <v>1.4251497005988027</v>
      </c>
      <c r="AH64" s="19">
        <f t="shared" si="11"/>
        <v>0.45932106959984842</v>
      </c>
      <c r="AI64" s="8">
        <f t="shared" si="12"/>
        <v>7536.666666666667</v>
      </c>
      <c r="AJ64" s="19">
        <f t="shared" si="13"/>
        <v>0.58765432098765435</v>
      </c>
    </row>
    <row r="65" spans="1:36" x14ac:dyDescent="0.3">
      <c r="A65" s="6" t="s">
        <v>142</v>
      </c>
      <c r="B65" s="2" t="s">
        <v>146</v>
      </c>
      <c r="C65" s="8">
        <v>1100</v>
      </c>
      <c r="D65" s="2" t="s">
        <v>229</v>
      </c>
      <c r="E65" s="8">
        <f t="shared" si="5"/>
        <v>8500</v>
      </c>
      <c r="F65" s="13">
        <f>+E65*(1+'Materia prima'!$B$1)</f>
        <v>11475</v>
      </c>
      <c r="H65" s="1">
        <v>0</v>
      </c>
      <c r="I65" s="1">
        <v>145</v>
      </c>
      <c r="J65" s="1">
        <v>1</v>
      </c>
      <c r="K65" s="1">
        <v>1</v>
      </c>
      <c r="L65" s="1">
        <v>0</v>
      </c>
      <c r="M65" s="1">
        <v>30</v>
      </c>
      <c r="N65" s="16">
        <f t="shared" si="15"/>
        <v>10.15</v>
      </c>
      <c r="O65" s="1">
        <f t="shared" si="14"/>
        <v>0.24166666666666664</v>
      </c>
      <c r="P65" s="1">
        <f t="shared" si="16"/>
        <v>2.9000000000000001E-2</v>
      </c>
      <c r="R65" s="8">
        <f>VLOOKUP(R$2,'Materia prima'!$B:$J,2,0)*H65</f>
        <v>0</v>
      </c>
      <c r="S65" s="8">
        <f>VLOOKUP(S$2,'Materia prima'!$B:$J,2,0)*I65</f>
        <v>1087.5</v>
      </c>
      <c r="T65" s="8">
        <f>VLOOKUP(T$2,'Materia prima'!$B:$J,2,0)*J65</f>
        <v>100</v>
      </c>
      <c r="U65" s="8">
        <f t="shared" si="6"/>
        <v>1100</v>
      </c>
      <c r="V65" s="8">
        <f>VLOOKUP(V$2,'Materia prima'!$B:$J,2,0)*L65/1000</f>
        <v>0</v>
      </c>
      <c r="W65" s="8">
        <f>VLOOKUP(W$2,'Materia prima'!$B:$J,2,0)*N65</f>
        <v>1522.5</v>
      </c>
      <c r="X65" s="8">
        <f>VLOOKUP(X$2,'Materia prima'!$B:$J,2,0)*O65</f>
        <v>41.083333333333329</v>
      </c>
      <c r="Y65" s="8">
        <f>VLOOKUP(Y$2,'Materia prima'!$B:$J,2,0)*P65</f>
        <v>522</v>
      </c>
      <c r="Z65" s="8">
        <f>VLOOKUP(Z$2,'Materia prima'!$B:$J,2,0)*M65/60</f>
        <v>3500</v>
      </c>
      <c r="AA65" s="8">
        <f t="shared" si="7"/>
        <v>4373.0833333333339</v>
      </c>
      <c r="AB65" s="5">
        <f t="shared" si="8"/>
        <v>7873.0833333333339</v>
      </c>
      <c r="AC65" s="5">
        <f t="shared" si="3"/>
        <v>8500</v>
      </c>
      <c r="AD65" s="5">
        <f t="shared" si="4"/>
        <v>1.0796278459307556</v>
      </c>
      <c r="AF65" s="19">
        <f t="shared" si="9"/>
        <v>0.44455264244207582</v>
      </c>
      <c r="AG65" s="19">
        <f t="shared" si="10"/>
        <v>1.624006707700516</v>
      </c>
      <c r="AH65" s="19">
        <f t="shared" si="11"/>
        <v>0.45749759200652007</v>
      </c>
      <c r="AI65" s="8">
        <f t="shared" si="12"/>
        <v>7101.9166666666661</v>
      </c>
      <c r="AJ65" s="19">
        <f t="shared" si="13"/>
        <v>0.61890341321713871</v>
      </c>
    </row>
    <row r="66" spans="1:36" x14ac:dyDescent="0.3">
      <c r="A66" s="6" t="s">
        <v>143</v>
      </c>
      <c r="B66" s="2" t="s">
        <v>147</v>
      </c>
      <c r="C66" s="8">
        <v>1000</v>
      </c>
      <c r="D66" s="2" t="s">
        <v>229</v>
      </c>
      <c r="E66" s="8">
        <f t="shared" si="5"/>
        <v>7300</v>
      </c>
      <c r="F66" s="13">
        <f>+E66*(1+'Materia prima'!$B$1)</f>
        <v>9855</v>
      </c>
      <c r="H66" s="1">
        <v>0</v>
      </c>
      <c r="I66" s="1">
        <v>100</v>
      </c>
      <c r="J66" s="1">
        <v>1</v>
      </c>
      <c r="K66" s="1">
        <v>1</v>
      </c>
      <c r="L66" s="1">
        <v>0</v>
      </c>
      <c r="M66" s="1">
        <v>30</v>
      </c>
      <c r="N66" s="16">
        <f t="shared" si="15"/>
        <v>7.0000000000000009</v>
      </c>
      <c r="O66" s="1">
        <f t="shared" si="14"/>
        <v>0.16666666666666666</v>
      </c>
      <c r="P66" s="1">
        <f t="shared" si="16"/>
        <v>0.02</v>
      </c>
      <c r="R66" s="8">
        <f>VLOOKUP(R$2,'Materia prima'!$B:$J,2,0)*H66</f>
        <v>0</v>
      </c>
      <c r="S66" s="8">
        <f>VLOOKUP(S$2,'Materia prima'!$B:$J,2,0)*I66</f>
        <v>750</v>
      </c>
      <c r="T66" s="8">
        <f>VLOOKUP(T$2,'Materia prima'!$B:$J,2,0)*J66</f>
        <v>100</v>
      </c>
      <c r="U66" s="8">
        <f t="shared" si="6"/>
        <v>1000</v>
      </c>
      <c r="V66" s="8">
        <f>VLOOKUP(V$2,'Materia prima'!$B:$J,2,0)*L66/1000</f>
        <v>0</v>
      </c>
      <c r="W66" s="8">
        <f>VLOOKUP(W$2,'Materia prima'!$B:$J,2,0)*N66</f>
        <v>1050.0000000000002</v>
      </c>
      <c r="X66" s="8">
        <f>VLOOKUP(X$2,'Materia prima'!$B:$J,2,0)*O66</f>
        <v>28.333333333333332</v>
      </c>
      <c r="Y66" s="8">
        <f>VLOOKUP(Y$2,'Materia prima'!$B:$J,2,0)*P66</f>
        <v>360</v>
      </c>
      <c r="Z66" s="8">
        <f>VLOOKUP(Z$2,'Materia prima'!$B:$J,2,0)*M66/60</f>
        <v>3500</v>
      </c>
      <c r="AA66" s="8">
        <f t="shared" si="7"/>
        <v>3288.3333333333335</v>
      </c>
      <c r="AB66" s="5">
        <f t="shared" si="8"/>
        <v>6788.3333333333339</v>
      </c>
      <c r="AC66" s="5">
        <f t="shared" si="3"/>
        <v>7300</v>
      </c>
      <c r="AD66" s="5">
        <f t="shared" si="4"/>
        <v>1.0753744168917259</v>
      </c>
      <c r="AF66" s="19">
        <f t="shared" si="9"/>
        <v>0.51559047385219736</v>
      </c>
      <c r="AG66" s="19">
        <f t="shared" si="10"/>
        <v>1.996958945767866</v>
      </c>
      <c r="AH66" s="19">
        <f t="shared" si="11"/>
        <v>0.45175546280383005</v>
      </c>
      <c r="AI66" s="8">
        <f t="shared" si="12"/>
        <v>6566.6666666666661</v>
      </c>
      <c r="AJ66" s="19">
        <f t="shared" si="13"/>
        <v>0.66632842888550647</v>
      </c>
    </row>
    <row r="67" spans="1:36" x14ac:dyDescent="0.3">
      <c r="A67" s="6" t="s">
        <v>144</v>
      </c>
      <c r="B67" s="2" t="s">
        <v>148</v>
      </c>
      <c r="C67" s="8">
        <v>1200</v>
      </c>
      <c r="D67" s="2" t="s">
        <v>229</v>
      </c>
      <c r="E67" s="8">
        <f t="shared" si="5"/>
        <v>8100</v>
      </c>
      <c r="F67" s="13">
        <f>+E67*(1+'Materia prima'!$B$1)</f>
        <v>10935</v>
      </c>
      <c r="H67" s="1">
        <v>0</v>
      </c>
      <c r="I67" s="1">
        <v>125</v>
      </c>
      <c r="J67" s="1">
        <v>1</v>
      </c>
      <c r="K67" s="1">
        <v>1</v>
      </c>
      <c r="L67" s="1">
        <v>0</v>
      </c>
      <c r="M67" s="1">
        <v>30</v>
      </c>
      <c r="N67" s="16">
        <f t="shared" si="15"/>
        <v>8.75</v>
      </c>
      <c r="O67" s="1">
        <f t="shared" ref="O67:O94" si="17">IF((H67+I67)&gt;0,O$1*(H67+I67),0)</f>
        <v>0.20833333333333331</v>
      </c>
      <c r="P67" s="1">
        <f t="shared" si="16"/>
        <v>2.5000000000000001E-2</v>
      </c>
      <c r="R67" s="8">
        <f>VLOOKUP(R$2,'Materia prima'!$B:$J,2,0)*H67</f>
        <v>0</v>
      </c>
      <c r="S67" s="8">
        <f>VLOOKUP(S$2,'Materia prima'!$B:$J,2,0)*I67</f>
        <v>937.5</v>
      </c>
      <c r="T67" s="8">
        <f>VLOOKUP(T$2,'Materia prima'!$B:$J,2,0)*J67</f>
        <v>100</v>
      </c>
      <c r="U67" s="8">
        <f t="shared" si="6"/>
        <v>1200</v>
      </c>
      <c r="V67" s="8">
        <f>VLOOKUP(V$2,'Materia prima'!$B:$J,2,0)*L67/1000</f>
        <v>0</v>
      </c>
      <c r="W67" s="8">
        <f>VLOOKUP(W$2,'Materia prima'!$B:$J,2,0)*N67</f>
        <v>1312.5</v>
      </c>
      <c r="X67" s="8">
        <f>VLOOKUP(X$2,'Materia prima'!$B:$J,2,0)*O67</f>
        <v>35.416666666666664</v>
      </c>
      <c r="Y67" s="8">
        <f>VLOOKUP(Y$2,'Materia prima'!$B:$J,2,0)*P67</f>
        <v>450</v>
      </c>
      <c r="Z67" s="8">
        <f>VLOOKUP(Z$2,'Materia prima'!$B:$J,2,0)*M67/60</f>
        <v>3500</v>
      </c>
      <c r="AA67" s="8">
        <f t="shared" si="7"/>
        <v>4035.4166666666665</v>
      </c>
      <c r="AB67" s="5">
        <f t="shared" si="8"/>
        <v>7535.4166666666661</v>
      </c>
      <c r="AC67" s="5">
        <f t="shared" si="3"/>
        <v>8100</v>
      </c>
      <c r="AD67" s="5">
        <f t="shared" ref="AD67:AD94" si="18">AC67/AB67</f>
        <v>1.0749239701410009</v>
      </c>
      <c r="AF67" s="19">
        <f t="shared" si="9"/>
        <v>0.46447332043129669</v>
      </c>
      <c r="AG67" s="19">
        <f t="shared" si="10"/>
        <v>1.7097573567372226</v>
      </c>
      <c r="AH67" s="19">
        <f t="shared" si="11"/>
        <v>0.45114735969035125</v>
      </c>
      <c r="AI67" s="8">
        <f t="shared" si="12"/>
        <v>6899.5833333333339</v>
      </c>
      <c r="AJ67" s="19">
        <f t="shared" si="13"/>
        <v>0.63096326779454359</v>
      </c>
    </row>
    <row r="68" spans="1:36" x14ac:dyDescent="0.3">
      <c r="A68" s="6" t="s">
        <v>145</v>
      </c>
      <c r="B68" s="2" t="s">
        <v>151</v>
      </c>
      <c r="C68" s="8">
        <v>1250</v>
      </c>
      <c r="D68" s="2" t="s">
        <v>229</v>
      </c>
      <c r="E68" s="8">
        <f t="shared" si="5"/>
        <v>8800</v>
      </c>
      <c r="F68" s="13">
        <f>+E68*(1+'Materia prima'!$B$1)</f>
        <v>11880</v>
      </c>
      <c r="H68" s="1">
        <v>0</v>
      </c>
      <c r="I68" s="1">
        <v>150</v>
      </c>
      <c r="J68" s="1">
        <v>1</v>
      </c>
      <c r="K68" s="1">
        <v>1</v>
      </c>
      <c r="L68" s="1">
        <v>0</v>
      </c>
      <c r="M68" s="1">
        <v>30</v>
      </c>
      <c r="N68" s="16">
        <f t="shared" ref="N68:N94" si="19">IF((H68+I68)&gt;0,N$1/100*(H68+I68),0)</f>
        <v>10.500000000000002</v>
      </c>
      <c r="O68" s="1">
        <f t="shared" si="17"/>
        <v>0.24999999999999997</v>
      </c>
      <c r="P68" s="1">
        <f t="shared" ref="P68:P94" si="20">IF((H68+I68)&gt;0,P$1*(H68+I68),0)</f>
        <v>3.0000000000000002E-2</v>
      </c>
      <c r="R68" s="8">
        <f>VLOOKUP(R$2,'Materia prima'!$B:$J,2,0)*H68</f>
        <v>0</v>
      </c>
      <c r="S68" s="8">
        <f>VLOOKUP(S$2,'Materia prima'!$B:$J,2,0)*I68</f>
        <v>1125</v>
      </c>
      <c r="T68" s="8">
        <f>VLOOKUP(T$2,'Materia prima'!$B:$J,2,0)*J68</f>
        <v>100</v>
      </c>
      <c r="U68" s="8">
        <f t="shared" si="6"/>
        <v>1250</v>
      </c>
      <c r="V68" s="8">
        <f>VLOOKUP(V$2,'Materia prima'!$B:$J,2,0)*L68/1000</f>
        <v>0</v>
      </c>
      <c r="W68" s="8">
        <f>VLOOKUP(W$2,'Materia prima'!$B:$J,2,0)*N68</f>
        <v>1575.0000000000002</v>
      </c>
      <c r="X68" s="8">
        <f>VLOOKUP(X$2,'Materia prima'!$B:$J,2,0)*O68</f>
        <v>42.499999999999993</v>
      </c>
      <c r="Y68" s="8">
        <f>VLOOKUP(Y$2,'Materia prima'!$B:$J,2,0)*P68</f>
        <v>540</v>
      </c>
      <c r="Z68" s="8">
        <f>VLOOKUP(Z$2,'Materia prima'!$B:$J,2,0)*M68/60</f>
        <v>3500</v>
      </c>
      <c r="AA68" s="8">
        <f t="shared" si="7"/>
        <v>4632.5</v>
      </c>
      <c r="AB68" s="5">
        <f t="shared" si="8"/>
        <v>8132.5</v>
      </c>
      <c r="AC68" s="5">
        <f t="shared" ref="AC68:AC94" si="21">CEILING(AB68*$AC$2,100)</f>
        <v>8800</v>
      </c>
      <c r="AD68" s="5">
        <f t="shared" si="18"/>
        <v>1.0820780817706732</v>
      </c>
      <c r="AF68" s="19">
        <f t="shared" si="9"/>
        <v>0.43037196434060865</v>
      </c>
      <c r="AG68" s="19">
        <f t="shared" si="10"/>
        <v>1.5644900161899624</v>
      </c>
      <c r="AH68" s="19">
        <f t="shared" si="11"/>
        <v>0.4608054103904089</v>
      </c>
      <c r="AI68" s="8">
        <f t="shared" si="12"/>
        <v>7247.5</v>
      </c>
      <c r="AJ68" s="19">
        <f t="shared" si="13"/>
        <v>0.61005892255892258</v>
      </c>
    </row>
    <row r="69" spans="1:36" x14ac:dyDescent="0.3">
      <c r="A69" s="6" t="s">
        <v>152</v>
      </c>
      <c r="B69" s="2" t="s">
        <v>158</v>
      </c>
      <c r="C69" s="8">
        <v>2600</v>
      </c>
      <c r="D69" s="2" t="s">
        <v>229</v>
      </c>
      <c r="E69" s="8">
        <f t="shared" ref="E69:E94" si="22">AC69</f>
        <v>7600</v>
      </c>
      <c r="F69" s="13">
        <f>+E69*(1+'Materia prima'!$B$1)</f>
        <v>10260</v>
      </c>
      <c r="H69" s="1">
        <v>0</v>
      </c>
      <c r="I69" s="1">
        <v>40</v>
      </c>
      <c r="J69" s="1">
        <v>1</v>
      </c>
      <c r="K69" s="1">
        <v>1</v>
      </c>
      <c r="L69" s="1">
        <v>0</v>
      </c>
      <c r="M69" s="1">
        <v>30</v>
      </c>
      <c r="N69" s="16">
        <f t="shared" si="19"/>
        <v>2.8000000000000003</v>
      </c>
      <c r="O69" s="1">
        <f t="shared" si="17"/>
        <v>6.6666666666666666E-2</v>
      </c>
      <c r="P69" s="1">
        <f t="shared" si="20"/>
        <v>8.0000000000000002E-3</v>
      </c>
      <c r="R69" s="8">
        <f>VLOOKUP(R$2,'Materia prima'!$B:$J,2,0)*H69</f>
        <v>0</v>
      </c>
      <c r="S69" s="8">
        <f>VLOOKUP(S$2,'Materia prima'!$B:$J,2,0)*I69</f>
        <v>300</v>
      </c>
      <c r="T69" s="8">
        <f>VLOOKUP(T$2,'Materia prima'!$B:$J,2,0)*J69</f>
        <v>100</v>
      </c>
      <c r="U69" s="8">
        <f t="shared" ref="U69:U94" si="23">C69*K69</f>
        <v>2600</v>
      </c>
      <c r="V69" s="8">
        <f>VLOOKUP(V$2,'Materia prima'!$B:$J,2,0)*L69/1000</f>
        <v>0</v>
      </c>
      <c r="W69" s="8">
        <f>VLOOKUP(W$2,'Materia prima'!$B:$J,2,0)*N69</f>
        <v>420.00000000000006</v>
      </c>
      <c r="X69" s="8">
        <f>VLOOKUP(X$2,'Materia prima'!$B:$J,2,0)*O69</f>
        <v>11.333333333333334</v>
      </c>
      <c r="Y69" s="8">
        <f>VLOOKUP(Y$2,'Materia prima'!$B:$J,2,0)*P69</f>
        <v>144</v>
      </c>
      <c r="Z69" s="8">
        <f>VLOOKUP(Z$2,'Materia prima'!$B:$J,2,0)*M69/60</f>
        <v>3500</v>
      </c>
      <c r="AA69" s="8">
        <f t="shared" ref="AA69:AA94" si="24">SUM(R69:Y69)</f>
        <v>3575.3333333333335</v>
      </c>
      <c r="AB69" s="5">
        <f t="shared" ref="AB69:AB94" si="25">SUM(Z69:AA69)</f>
        <v>7075.3333333333339</v>
      </c>
      <c r="AC69" s="5">
        <f t="shared" si="21"/>
        <v>7600</v>
      </c>
      <c r="AD69" s="5">
        <f t="shared" si="18"/>
        <v>1.0741543390181851</v>
      </c>
      <c r="AF69" s="19">
        <f t="shared" ref="AF69:AF94" si="26">Z69/AB69</f>
        <v>0.49467634033732211</v>
      </c>
      <c r="AG69" s="19">
        <f t="shared" ref="AG69:AG94" si="27">$F69/AA69-1</f>
        <v>1.8696625023307849</v>
      </c>
      <c r="AH69" s="19">
        <f t="shared" ref="AH69:AH94" si="28">$F69/AB69-1</f>
        <v>0.45010835767454993</v>
      </c>
      <c r="AI69" s="8">
        <f t="shared" ref="AI69:AI94" si="29">F69-AA69</f>
        <v>6684.6666666666661</v>
      </c>
      <c r="AJ69" s="19">
        <f t="shared" ref="AJ69:AJ94" si="30">AI69/$F69</f>
        <v>0.65152696556205325</v>
      </c>
    </row>
    <row r="70" spans="1:36" x14ac:dyDescent="0.3">
      <c r="A70" s="6" t="s">
        <v>153</v>
      </c>
      <c r="B70" s="2" t="s">
        <v>179</v>
      </c>
      <c r="C70" s="8">
        <v>5000</v>
      </c>
      <c r="D70" s="2" t="s">
        <v>229</v>
      </c>
      <c r="E70" s="8">
        <f t="shared" si="22"/>
        <v>11100</v>
      </c>
      <c r="F70" s="13">
        <f>+E70*(1+'Materia prima'!$B$1)</f>
        <v>14985.000000000002</v>
      </c>
      <c r="H70" s="1">
        <v>0</v>
      </c>
      <c r="I70" s="1">
        <v>80</v>
      </c>
      <c r="J70" s="1">
        <v>1</v>
      </c>
      <c r="K70" s="1">
        <v>1</v>
      </c>
      <c r="L70" s="1">
        <v>0</v>
      </c>
      <c r="M70" s="1">
        <v>30</v>
      </c>
      <c r="N70" s="16">
        <f t="shared" si="19"/>
        <v>5.6000000000000005</v>
      </c>
      <c r="O70" s="1">
        <f t="shared" si="17"/>
        <v>0.13333333333333333</v>
      </c>
      <c r="P70" s="1">
        <f t="shared" si="20"/>
        <v>1.6E-2</v>
      </c>
      <c r="R70" s="8">
        <f>VLOOKUP(R$2,'Materia prima'!$B:$J,2,0)*H70</f>
        <v>0</v>
      </c>
      <c r="S70" s="8">
        <f>VLOOKUP(S$2,'Materia prima'!$B:$J,2,0)*I70</f>
        <v>600</v>
      </c>
      <c r="T70" s="8">
        <f>VLOOKUP(T$2,'Materia prima'!$B:$J,2,0)*J70</f>
        <v>100</v>
      </c>
      <c r="U70" s="8">
        <f t="shared" si="23"/>
        <v>5000</v>
      </c>
      <c r="V70" s="8">
        <f>VLOOKUP(V$2,'Materia prima'!$B:$J,2,0)*L70/1000</f>
        <v>0</v>
      </c>
      <c r="W70" s="8">
        <f>VLOOKUP(W$2,'Materia prima'!$B:$J,2,0)*N70</f>
        <v>840.00000000000011</v>
      </c>
      <c r="X70" s="8">
        <f>VLOOKUP(X$2,'Materia prima'!$B:$J,2,0)*O70</f>
        <v>22.666666666666668</v>
      </c>
      <c r="Y70" s="8">
        <f>VLOOKUP(Y$2,'Materia prima'!$B:$J,2,0)*P70</f>
        <v>288</v>
      </c>
      <c r="Z70" s="8">
        <f>VLOOKUP(Z$2,'Materia prima'!$B:$J,2,0)*M70/60</f>
        <v>3500</v>
      </c>
      <c r="AA70" s="8">
        <f t="shared" si="24"/>
        <v>6850.666666666667</v>
      </c>
      <c r="AB70" s="5">
        <f t="shared" si="25"/>
        <v>10350.666666666668</v>
      </c>
      <c r="AC70" s="5">
        <f t="shared" si="21"/>
        <v>11100</v>
      </c>
      <c r="AD70" s="5">
        <f t="shared" si="18"/>
        <v>1.0723946927734123</v>
      </c>
      <c r="AF70" s="19">
        <f t="shared" si="26"/>
        <v>0.33814247069431919</v>
      </c>
      <c r="AG70" s="19">
        <f t="shared" si="27"/>
        <v>1.1873783573374856</v>
      </c>
      <c r="AH70" s="19">
        <f t="shared" si="28"/>
        <v>0.44773283524410656</v>
      </c>
      <c r="AI70" s="8">
        <f t="shared" si="29"/>
        <v>8134.3333333333348</v>
      </c>
      <c r="AJ70" s="19">
        <f t="shared" si="30"/>
        <v>0.54283172060949847</v>
      </c>
    </row>
    <row r="71" spans="1:36" x14ac:dyDescent="0.3">
      <c r="A71" s="6" t="s">
        <v>154</v>
      </c>
      <c r="B71" s="2" t="s">
        <v>159</v>
      </c>
      <c r="C71" s="8">
        <v>4000</v>
      </c>
      <c r="D71" s="2" t="s">
        <v>229</v>
      </c>
      <c r="E71" s="8">
        <f t="shared" si="22"/>
        <v>9600</v>
      </c>
      <c r="F71" s="13">
        <f>+E71*(1+'Materia prima'!$B$1)</f>
        <v>12960</v>
      </c>
      <c r="H71" s="1">
        <v>0</v>
      </c>
      <c r="I71" s="1">
        <v>60</v>
      </c>
      <c r="J71" s="1">
        <v>1</v>
      </c>
      <c r="K71" s="1">
        <v>1</v>
      </c>
      <c r="L71" s="1">
        <v>0</v>
      </c>
      <c r="M71" s="1">
        <v>30</v>
      </c>
      <c r="N71" s="16">
        <f t="shared" si="19"/>
        <v>4.2</v>
      </c>
      <c r="O71" s="1">
        <f t="shared" si="17"/>
        <v>9.9999999999999992E-2</v>
      </c>
      <c r="P71" s="1">
        <f t="shared" si="20"/>
        <v>1.2E-2</v>
      </c>
      <c r="R71" s="8">
        <f>VLOOKUP(R$2,'Materia prima'!$B:$J,2,0)*H71</f>
        <v>0</v>
      </c>
      <c r="S71" s="8">
        <f>VLOOKUP(S$2,'Materia prima'!$B:$J,2,0)*I71</f>
        <v>450</v>
      </c>
      <c r="T71" s="8">
        <f>VLOOKUP(T$2,'Materia prima'!$B:$J,2,0)*J71</f>
        <v>100</v>
      </c>
      <c r="U71" s="8">
        <f t="shared" si="23"/>
        <v>4000</v>
      </c>
      <c r="V71" s="8">
        <f>VLOOKUP(V$2,'Materia prima'!$B:$J,2,0)*L71/1000</f>
        <v>0</v>
      </c>
      <c r="W71" s="8">
        <f>VLOOKUP(W$2,'Materia prima'!$B:$J,2,0)*N71</f>
        <v>630</v>
      </c>
      <c r="X71" s="8">
        <f>VLOOKUP(X$2,'Materia prima'!$B:$J,2,0)*O71</f>
        <v>17</v>
      </c>
      <c r="Y71" s="8">
        <f>VLOOKUP(Y$2,'Materia prima'!$B:$J,2,0)*P71</f>
        <v>216</v>
      </c>
      <c r="Z71" s="8">
        <f>VLOOKUP(Z$2,'Materia prima'!$B:$J,2,0)*M71/60</f>
        <v>3500</v>
      </c>
      <c r="AA71" s="8">
        <f t="shared" si="24"/>
        <v>5413</v>
      </c>
      <c r="AB71" s="5">
        <f t="shared" si="25"/>
        <v>8913</v>
      </c>
      <c r="AC71" s="5">
        <f t="shared" si="21"/>
        <v>9600</v>
      </c>
      <c r="AD71" s="5">
        <f t="shared" si="18"/>
        <v>1.0770784247728038</v>
      </c>
      <c r="AF71" s="19">
        <f t="shared" si="26"/>
        <v>0.39268484236508472</v>
      </c>
      <c r="AG71" s="19">
        <f t="shared" si="27"/>
        <v>1.394236098281914</v>
      </c>
      <c r="AH71" s="19">
        <f t="shared" si="28"/>
        <v>0.45405587344328513</v>
      </c>
      <c r="AI71" s="8">
        <f t="shared" si="29"/>
        <v>7547</v>
      </c>
      <c r="AJ71" s="19">
        <f t="shared" si="30"/>
        <v>0.58233024691358026</v>
      </c>
    </row>
    <row r="72" spans="1:36" x14ac:dyDescent="0.3">
      <c r="A72" s="6" t="s">
        <v>155</v>
      </c>
      <c r="B72" s="2" t="s">
        <v>165</v>
      </c>
      <c r="C72" s="8">
        <v>600</v>
      </c>
      <c r="D72" s="2" t="s">
        <v>229</v>
      </c>
      <c r="E72" s="8">
        <f t="shared" si="22"/>
        <v>5300</v>
      </c>
      <c r="F72" s="13">
        <f>+E72*(1+'Materia prima'!$B$1)</f>
        <v>7155.0000000000009</v>
      </c>
      <c r="H72" s="1">
        <v>0</v>
      </c>
      <c r="I72" s="1">
        <v>34</v>
      </c>
      <c r="J72" s="1">
        <v>1</v>
      </c>
      <c r="K72" s="1">
        <v>1</v>
      </c>
      <c r="L72" s="1">
        <v>0</v>
      </c>
      <c r="M72" s="1">
        <v>30</v>
      </c>
      <c r="N72" s="16">
        <f t="shared" si="19"/>
        <v>2.3800000000000003</v>
      </c>
      <c r="O72" s="1">
        <f t="shared" si="17"/>
        <v>5.6666666666666664E-2</v>
      </c>
      <c r="P72" s="1">
        <f t="shared" si="20"/>
        <v>6.8000000000000005E-3</v>
      </c>
      <c r="R72" s="8">
        <f>VLOOKUP(R$2,'Materia prima'!$B:$J,2,0)*H72</f>
        <v>0</v>
      </c>
      <c r="S72" s="8">
        <f>VLOOKUP(S$2,'Materia prima'!$B:$J,2,0)*I72</f>
        <v>255</v>
      </c>
      <c r="T72" s="8">
        <f>VLOOKUP(T$2,'Materia prima'!$B:$J,2,0)*J72</f>
        <v>100</v>
      </c>
      <c r="U72" s="8">
        <f t="shared" si="23"/>
        <v>600</v>
      </c>
      <c r="V72" s="8">
        <f>VLOOKUP(V$2,'Materia prima'!$B:$J,2,0)*L72/1000</f>
        <v>0</v>
      </c>
      <c r="W72" s="8">
        <f>VLOOKUP(W$2,'Materia prima'!$B:$J,2,0)*N72</f>
        <v>357.00000000000006</v>
      </c>
      <c r="X72" s="8">
        <f>VLOOKUP(X$2,'Materia prima'!$B:$J,2,0)*O72</f>
        <v>9.6333333333333329</v>
      </c>
      <c r="Y72" s="8">
        <f>VLOOKUP(Y$2,'Materia prima'!$B:$J,2,0)*P72</f>
        <v>122.4</v>
      </c>
      <c r="Z72" s="8">
        <f>VLOOKUP(Z$2,'Materia prima'!$B:$J,2,0)*M72/60</f>
        <v>3500</v>
      </c>
      <c r="AA72" s="8">
        <f t="shared" si="24"/>
        <v>1444.0333333333335</v>
      </c>
      <c r="AB72" s="5">
        <f t="shared" si="25"/>
        <v>4944.0333333333338</v>
      </c>
      <c r="AC72" s="5">
        <f t="shared" si="21"/>
        <v>5300</v>
      </c>
      <c r="AD72" s="5">
        <f t="shared" si="18"/>
        <v>1.0719992448810349</v>
      </c>
      <c r="AF72" s="19">
        <f t="shared" si="26"/>
        <v>0.70792402963841927</v>
      </c>
      <c r="AG72" s="19">
        <f t="shared" si="27"/>
        <v>3.9548717711964176</v>
      </c>
      <c r="AH72" s="19">
        <f t="shared" si="28"/>
        <v>0.44719898058939744</v>
      </c>
      <c r="AI72" s="8">
        <f t="shared" si="29"/>
        <v>5710.9666666666672</v>
      </c>
      <c r="AJ72" s="19">
        <f t="shared" si="30"/>
        <v>0.79817843000232935</v>
      </c>
    </row>
    <row r="73" spans="1:36" x14ac:dyDescent="0.3">
      <c r="A73" s="6" t="s">
        <v>156</v>
      </c>
      <c r="B73" s="2" t="s">
        <v>166</v>
      </c>
      <c r="C73" s="8">
        <v>3100</v>
      </c>
      <c r="D73" s="2" t="s">
        <v>229</v>
      </c>
      <c r="E73" s="8">
        <f t="shared" si="22"/>
        <v>8600</v>
      </c>
      <c r="F73" s="13">
        <f>+E73*(1+'Materia prima'!$B$1)</f>
        <v>11610</v>
      </c>
      <c r="H73" s="1">
        <v>0</v>
      </c>
      <c r="I73" s="1">
        <v>60</v>
      </c>
      <c r="J73" s="1">
        <v>1</v>
      </c>
      <c r="K73" s="1">
        <v>1</v>
      </c>
      <c r="L73" s="1">
        <v>0</v>
      </c>
      <c r="M73" s="1">
        <v>30</v>
      </c>
      <c r="N73" s="16">
        <f t="shared" si="19"/>
        <v>4.2</v>
      </c>
      <c r="O73" s="1">
        <f t="shared" si="17"/>
        <v>9.9999999999999992E-2</v>
      </c>
      <c r="P73" s="1">
        <f t="shared" si="20"/>
        <v>1.2E-2</v>
      </c>
      <c r="R73" s="8">
        <f>VLOOKUP(R$2,'Materia prima'!$B:$J,2,0)*H73</f>
        <v>0</v>
      </c>
      <c r="S73" s="8">
        <f>VLOOKUP(S$2,'Materia prima'!$B:$J,2,0)*I73</f>
        <v>450</v>
      </c>
      <c r="T73" s="8">
        <f>VLOOKUP(T$2,'Materia prima'!$B:$J,2,0)*J73</f>
        <v>100</v>
      </c>
      <c r="U73" s="8">
        <f t="shared" si="23"/>
        <v>3100</v>
      </c>
      <c r="V73" s="8">
        <f>VLOOKUP(V$2,'Materia prima'!$B:$J,2,0)*L73/1000</f>
        <v>0</v>
      </c>
      <c r="W73" s="8">
        <f>VLOOKUP(W$2,'Materia prima'!$B:$J,2,0)*N73</f>
        <v>630</v>
      </c>
      <c r="X73" s="8">
        <f>VLOOKUP(X$2,'Materia prima'!$B:$J,2,0)*O73</f>
        <v>17</v>
      </c>
      <c r="Y73" s="8">
        <f>VLOOKUP(Y$2,'Materia prima'!$B:$J,2,0)*P73</f>
        <v>216</v>
      </c>
      <c r="Z73" s="8">
        <f>VLOOKUP(Z$2,'Materia prima'!$B:$J,2,0)*M73/60</f>
        <v>3500</v>
      </c>
      <c r="AA73" s="8">
        <f t="shared" si="24"/>
        <v>4513</v>
      </c>
      <c r="AB73" s="5">
        <f t="shared" si="25"/>
        <v>8013</v>
      </c>
      <c r="AC73" s="5">
        <f t="shared" si="21"/>
        <v>8600</v>
      </c>
      <c r="AD73" s="5">
        <f t="shared" si="18"/>
        <v>1.0732559590665169</v>
      </c>
      <c r="AF73" s="19">
        <f t="shared" si="26"/>
        <v>0.43679021589916384</v>
      </c>
      <c r="AG73" s="19">
        <f t="shared" si="27"/>
        <v>1.5725681364945712</v>
      </c>
      <c r="AH73" s="19">
        <f t="shared" si="28"/>
        <v>0.44889554473979776</v>
      </c>
      <c r="AI73" s="8">
        <f t="shared" si="29"/>
        <v>7097</v>
      </c>
      <c r="AJ73" s="19">
        <f t="shared" si="30"/>
        <v>0.61128337639965546</v>
      </c>
    </row>
    <row r="74" spans="1:36" x14ac:dyDescent="0.3">
      <c r="A74" s="6" t="s">
        <v>157</v>
      </c>
      <c r="B74" s="2" t="s">
        <v>168</v>
      </c>
      <c r="C74" s="8">
        <v>2600</v>
      </c>
      <c r="D74" s="2" t="s">
        <v>229</v>
      </c>
      <c r="E74" s="8">
        <f t="shared" si="22"/>
        <v>7900</v>
      </c>
      <c r="F74" s="13">
        <f>+E74*(1+'Materia prima'!$B$1)</f>
        <v>10665</v>
      </c>
      <c r="H74" s="1">
        <v>0</v>
      </c>
      <c r="I74" s="1">
        <v>50</v>
      </c>
      <c r="J74" s="1">
        <v>1</v>
      </c>
      <c r="K74" s="1">
        <v>1</v>
      </c>
      <c r="L74" s="1">
        <v>0</v>
      </c>
      <c r="M74" s="1">
        <v>30</v>
      </c>
      <c r="N74" s="16">
        <f t="shared" si="19"/>
        <v>3.5000000000000004</v>
      </c>
      <c r="O74" s="1">
        <f t="shared" si="17"/>
        <v>8.3333333333333329E-2</v>
      </c>
      <c r="P74" s="1">
        <f t="shared" si="20"/>
        <v>0.01</v>
      </c>
      <c r="R74" s="8">
        <f>VLOOKUP(R$2,'Materia prima'!$B:$J,2,0)*H74</f>
        <v>0</v>
      </c>
      <c r="S74" s="8">
        <f>VLOOKUP(S$2,'Materia prima'!$B:$J,2,0)*I74</f>
        <v>375</v>
      </c>
      <c r="T74" s="8">
        <f>VLOOKUP(T$2,'Materia prima'!$B:$J,2,0)*J74</f>
        <v>100</v>
      </c>
      <c r="U74" s="8">
        <f t="shared" si="23"/>
        <v>2600</v>
      </c>
      <c r="V74" s="8">
        <f>VLOOKUP(V$2,'Materia prima'!$B:$J,2,0)*L74/1000</f>
        <v>0</v>
      </c>
      <c r="W74" s="8">
        <f>VLOOKUP(W$2,'Materia prima'!$B:$J,2,0)*N74</f>
        <v>525.00000000000011</v>
      </c>
      <c r="X74" s="8">
        <f>VLOOKUP(X$2,'Materia prima'!$B:$J,2,0)*O74</f>
        <v>14.166666666666666</v>
      </c>
      <c r="Y74" s="8">
        <f>VLOOKUP(Y$2,'Materia prima'!$B:$J,2,0)*P74</f>
        <v>180</v>
      </c>
      <c r="Z74" s="8">
        <f>VLOOKUP(Z$2,'Materia prima'!$B:$J,2,0)*M74/60</f>
        <v>3500</v>
      </c>
      <c r="AA74" s="8">
        <f t="shared" si="24"/>
        <v>3794.1666666666665</v>
      </c>
      <c r="AB74" s="5">
        <f t="shared" si="25"/>
        <v>7294.1666666666661</v>
      </c>
      <c r="AC74" s="5">
        <f t="shared" si="21"/>
        <v>7900</v>
      </c>
      <c r="AD74" s="5">
        <f t="shared" si="18"/>
        <v>1.0830572375185652</v>
      </c>
      <c r="AF74" s="19">
        <f t="shared" si="26"/>
        <v>0.47983548497657952</v>
      </c>
      <c r="AG74" s="19">
        <f t="shared" si="27"/>
        <v>1.8108939160992752</v>
      </c>
      <c r="AH74" s="19">
        <f t="shared" si="28"/>
        <v>0.46212727065006298</v>
      </c>
      <c r="AI74" s="8">
        <f t="shared" si="29"/>
        <v>6870.8333333333339</v>
      </c>
      <c r="AJ74" s="19">
        <f t="shared" si="30"/>
        <v>0.64424128770120337</v>
      </c>
    </row>
    <row r="75" spans="1:36" x14ac:dyDescent="0.3">
      <c r="A75" s="6" t="s">
        <v>162</v>
      </c>
      <c r="B75" s="2" t="s">
        <v>169</v>
      </c>
      <c r="C75" s="8">
        <v>1000</v>
      </c>
      <c r="D75" s="2" t="s">
        <v>229</v>
      </c>
      <c r="E75" s="8">
        <f t="shared" si="22"/>
        <v>5700</v>
      </c>
      <c r="F75" s="13">
        <f>+E75*(1+'Materia prima'!$B$1)</f>
        <v>7695.0000000000009</v>
      </c>
      <c r="H75" s="1">
        <v>0</v>
      </c>
      <c r="I75" s="1">
        <v>30</v>
      </c>
      <c r="J75" s="1">
        <v>1</v>
      </c>
      <c r="K75" s="1">
        <v>1</v>
      </c>
      <c r="L75" s="1">
        <v>0</v>
      </c>
      <c r="M75" s="1">
        <v>30</v>
      </c>
      <c r="N75" s="16">
        <f t="shared" si="19"/>
        <v>2.1</v>
      </c>
      <c r="O75" s="1">
        <f t="shared" si="17"/>
        <v>4.9999999999999996E-2</v>
      </c>
      <c r="P75" s="1">
        <f t="shared" si="20"/>
        <v>6.0000000000000001E-3</v>
      </c>
      <c r="R75" s="8">
        <f>VLOOKUP(R$2,'Materia prima'!$B:$J,2,0)*H75</f>
        <v>0</v>
      </c>
      <c r="S75" s="8">
        <f>VLOOKUP(S$2,'Materia prima'!$B:$J,2,0)*I75</f>
        <v>225</v>
      </c>
      <c r="T75" s="8">
        <f>VLOOKUP(T$2,'Materia prima'!$B:$J,2,0)*J75</f>
        <v>100</v>
      </c>
      <c r="U75" s="8">
        <f t="shared" si="23"/>
        <v>1000</v>
      </c>
      <c r="V75" s="8">
        <f>VLOOKUP(V$2,'Materia prima'!$B:$J,2,0)*L75/1000</f>
        <v>0</v>
      </c>
      <c r="W75" s="8">
        <f>VLOOKUP(W$2,'Materia prima'!$B:$J,2,0)*N75</f>
        <v>315</v>
      </c>
      <c r="X75" s="8">
        <f>VLOOKUP(X$2,'Materia prima'!$B:$J,2,0)*O75</f>
        <v>8.5</v>
      </c>
      <c r="Y75" s="8">
        <f>VLOOKUP(Y$2,'Materia prima'!$B:$J,2,0)*P75</f>
        <v>108</v>
      </c>
      <c r="Z75" s="8">
        <f>VLOOKUP(Z$2,'Materia prima'!$B:$J,2,0)*M75/60</f>
        <v>3500</v>
      </c>
      <c r="AA75" s="8">
        <f t="shared" si="24"/>
        <v>1756.5</v>
      </c>
      <c r="AB75" s="5">
        <f t="shared" si="25"/>
        <v>5256.5</v>
      </c>
      <c r="AC75" s="5">
        <f t="shared" si="21"/>
        <v>5700</v>
      </c>
      <c r="AD75" s="5">
        <f t="shared" si="18"/>
        <v>1.0843717302387521</v>
      </c>
      <c r="AF75" s="19">
        <f t="shared" si="26"/>
        <v>0.66584229049747934</v>
      </c>
      <c r="AG75" s="19">
        <f t="shared" si="27"/>
        <v>3.3808710503842878</v>
      </c>
      <c r="AH75" s="19">
        <f t="shared" si="28"/>
        <v>0.46390183582231548</v>
      </c>
      <c r="AI75" s="8">
        <f t="shared" si="29"/>
        <v>5938.5000000000009</v>
      </c>
      <c r="AJ75" s="19">
        <f t="shared" si="30"/>
        <v>0.77173489278752438</v>
      </c>
    </row>
    <row r="76" spans="1:36" x14ac:dyDescent="0.3">
      <c r="A76" s="6" t="s">
        <v>163</v>
      </c>
      <c r="B76" s="2" t="s">
        <v>178</v>
      </c>
      <c r="C76" s="8">
        <v>3900</v>
      </c>
      <c r="D76" s="2" t="s">
        <v>229</v>
      </c>
      <c r="E76" s="8">
        <f t="shared" si="22"/>
        <v>9700</v>
      </c>
      <c r="F76" s="13">
        <f>+E76*(1+'Materia prima'!$B$1)</f>
        <v>13095</v>
      </c>
      <c r="H76" s="1">
        <v>0</v>
      </c>
      <c r="I76" s="1">
        <v>70</v>
      </c>
      <c r="J76" s="1">
        <v>1</v>
      </c>
      <c r="K76" s="1">
        <v>1</v>
      </c>
      <c r="L76" s="1">
        <v>0</v>
      </c>
      <c r="M76" s="1">
        <v>30</v>
      </c>
      <c r="N76" s="16">
        <f t="shared" si="19"/>
        <v>4.9000000000000004</v>
      </c>
      <c r="O76" s="1">
        <f t="shared" si="17"/>
        <v>0.11666666666666665</v>
      </c>
      <c r="P76" s="1">
        <f t="shared" si="20"/>
        <v>1.4E-2</v>
      </c>
      <c r="R76" s="8">
        <f>VLOOKUP(R$2,'Materia prima'!$B:$J,2,0)*H76</f>
        <v>0</v>
      </c>
      <c r="S76" s="8">
        <f>VLOOKUP(S$2,'Materia prima'!$B:$J,2,0)*I76</f>
        <v>525</v>
      </c>
      <c r="T76" s="8">
        <f>VLOOKUP(T$2,'Materia prima'!$B:$J,2,0)*J76</f>
        <v>100</v>
      </c>
      <c r="U76" s="8">
        <f t="shared" si="23"/>
        <v>3900</v>
      </c>
      <c r="V76" s="8">
        <f>VLOOKUP(V$2,'Materia prima'!$B:$J,2,0)*L76/1000</f>
        <v>0</v>
      </c>
      <c r="W76" s="8">
        <f>VLOOKUP(W$2,'Materia prima'!$B:$J,2,0)*N76</f>
        <v>735</v>
      </c>
      <c r="X76" s="8">
        <f>VLOOKUP(X$2,'Materia prima'!$B:$J,2,0)*O76</f>
        <v>19.833333333333332</v>
      </c>
      <c r="Y76" s="8">
        <f>VLOOKUP(Y$2,'Materia prima'!$B:$J,2,0)*P76</f>
        <v>252</v>
      </c>
      <c r="Z76" s="8">
        <f>VLOOKUP(Z$2,'Materia prima'!$B:$J,2,0)*M76/60</f>
        <v>3500</v>
      </c>
      <c r="AA76" s="8">
        <f t="shared" si="24"/>
        <v>5531.833333333333</v>
      </c>
      <c r="AB76" s="5">
        <f t="shared" si="25"/>
        <v>9031.8333333333321</v>
      </c>
      <c r="AC76" s="5">
        <f t="shared" si="21"/>
        <v>9700</v>
      </c>
      <c r="AD76" s="5">
        <f t="shared" si="18"/>
        <v>1.0739790740159807</v>
      </c>
      <c r="AF76" s="19">
        <f t="shared" si="26"/>
        <v>0.38751822258308583</v>
      </c>
      <c r="AG76" s="19">
        <f t="shared" si="27"/>
        <v>1.3672079780663435</v>
      </c>
      <c r="AH76" s="19">
        <f t="shared" si="28"/>
        <v>0.44987174992157386</v>
      </c>
      <c r="AI76" s="8">
        <f t="shared" si="29"/>
        <v>7563.166666666667</v>
      </c>
      <c r="AJ76" s="19">
        <f t="shared" si="30"/>
        <v>0.57756141020745833</v>
      </c>
    </row>
    <row r="77" spans="1:36" x14ac:dyDescent="0.3">
      <c r="A77" s="6" t="s">
        <v>170</v>
      </c>
      <c r="B77" s="2" t="s">
        <v>180</v>
      </c>
      <c r="C77" s="8">
        <v>3400</v>
      </c>
      <c r="D77" s="2" t="s">
        <v>229</v>
      </c>
      <c r="E77" s="8">
        <f t="shared" si="22"/>
        <v>9600</v>
      </c>
      <c r="F77" s="13">
        <f>+E77*(1+'Materia prima'!$B$1)</f>
        <v>12960</v>
      </c>
      <c r="H77" s="1">
        <v>0</v>
      </c>
      <c r="I77" s="1">
        <v>90</v>
      </c>
      <c r="J77" s="1">
        <v>1</v>
      </c>
      <c r="K77" s="1">
        <v>1</v>
      </c>
      <c r="L77" s="1">
        <v>0</v>
      </c>
      <c r="M77" s="1">
        <v>30</v>
      </c>
      <c r="N77" s="16">
        <f t="shared" si="19"/>
        <v>6.3000000000000007</v>
      </c>
      <c r="O77" s="1">
        <f t="shared" si="17"/>
        <v>0.15</v>
      </c>
      <c r="P77" s="1">
        <f t="shared" si="20"/>
        <v>1.8000000000000002E-2</v>
      </c>
      <c r="R77" s="8">
        <f>VLOOKUP(R$2,'Materia prima'!$B:$J,2,0)*H77</f>
        <v>0</v>
      </c>
      <c r="S77" s="8">
        <f>VLOOKUP(S$2,'Materia prima'!$B:$J,2,0)*I77</f>
        <v>675</v>
      </c>
      <c r="T77" s="8">
        <f>VLOOKUP(T$2,'Materia prima'!$B:$J,2,0)*J77</f>
        <v>100</v>
      </c>
      <c r="U77" s="8">
        <f t="shared" si="23"/>
        <v>3400</v>
      </c>
      <c r="V77" s="8">
        <f>VLOOKUP(V$2,'Materia prima'!$B:$J,2,0)*L77/1000</f>
        <v>0</v>
      </c>
      <c r="W77" s="8">
        <f>VLOOKUP(W$2,'Materia prima'!$B:$J,2,0)*N77</f>
        <v>945.00000000000011</v>
      </c>
      <c r="X77" s="8">
        <f>VLOOKUP(X$2,'Materia prima'!$B:$J,2,0)*O77</f>
        <v>25.5</v>
      </c>
      <c r="Y77" s="8">
        <f>VLOOKUP(Y$2,'Materia prima'!$B:$J,2,0)*P77</f>
        <v>324.00000000000006</v>
      </c>
      <c r="Z77" s="8">
        <f>VLOOKUP(Z$2,'Materia prima'!$B:$J,2,0)*M77/60</f>
        <v>3500</v>
      </c>
      <c r="AA77" s="8">
        <f t="shared" si="24"/>
        <v>5469.5</v>
      </c>
      <c r="AB77" s="5">
        <f t="shared" si="25"/>
        <v>8969.5</v>
      </c>
      <c r="AC77" s="5">
        <f t="shared" si="21"/>
        <v>9600</v>
      </c>
      <c r="AD77" s="5">
        <f t="shared" si="18"/>
        <v>1.0702937733429958</v>
      </c>
      <c r="AF77" s="19">
        <f t="shared" si="26"/>
        <v>0.39021127153130053</v>
      </c>
      <c r="AG77" s="19">
        <f t="shared" si="27"/>
        <v>1.3695036109333576</v>
      </c>
      <c r="AH77" s="19">
        <f t="shared" si="28"/>
        <v>0.44489659401304427</v>
      </c>
      <c r="AI77" s="8">
        <f t="shared" si="29"/>
        <v>7490.5</v>
      </c>
      <c r="AJ77" s="19">
        <f t="shared" si="30"/>
        <v>0.57797067901234567</v>
      </c>
    </row>
    <row r="78" spans="1:36" x14ac:dyDescent="0.3">
      <c r="A78" s="6" t="s">
        <v>171</v>
      </c>
      <c r="B78" s="2" t="s">
        <v>184</v>
      </c>
      <c r="C78" s="8">
        <v>2500</v>
      </c>
      <c r="D78" s="2" t="s">
        <v>229</v>
      </c>
      <c r="E78" s="8">
        <f t="shared" si="22"/>
        <v>7600</v>
      </c>
      <c r="F78" s="13">
        <f>+E78*(1+'Materia prima'!$B$1)</f>
        <v>10260</v>
      </c>
      <c r="H78" s="1">
        <v>0</v>
      </c>
      <c r="I78" s="1">
        <v>40</v>
      </c>
      <c r="J78" s="1">
        <v>1.5</v>
      </c>
      <c r="K78" s="1">
        <v>1</v>
      </c>
      <c r="L78" s="1">
        <v>0</v>
      </c>
      <c r="M78" s="1">
        <v>30</v>
      </c>
      <c r="N78" s="16">
        <f t="shared" si="19"/>
        <v>2.8000000000000003</v>
      </c>
      <c r="O78" s="1">
        <f t="shared" si="17"/>
        <v>6.6666666666666666E-2</v>
      </c>
      <c r="P78" s="1">
        <f t="shared" si="20"/>
        <v>8.0000000000000002E-3</v>
      </c>
      <c r="R78" s="8">
        <f>VLOOKUP(R$2,'Materia prima'!$B:$J,2,0)*H78</f>
        <v>0</v>
      </c>
      <c r="S78" s="8">
        <f>VLOOKUP(S$2,'Materia prima'!$B:$J,2,0)*I78</f>
        <v>300</v>
      </c>
      <c r="T78" s="8">
        <f>VLOOKUP(T$2,'Materia prima'!$B:$J,2,0)*J78</f>
        <v>150</v>
      </c>
      <c r="U78" s="8">
        <f t="shared" si="23"/>
        <v>2500</v>
      </c>
      <c r="V78" s="8">
        <f>VLOOKUP(V$2,'Materia prima'!$B:$J,2,0)*L78/1000</f>
        <v>0</v>
      </c>
      <c r="W78" s="8">
        <f>VLOOKUP(W$2,'Materia prima'!$B:$J,2,0)*N78</f>
        <v>420.00000000000006</v>
      </c>
      <c r="X78" s="8">
        <f>VLOOKUP(X$2,'Materia prima'!$B:$J,2,0)*O78</f>
        <v>11.333333333333334</v>
      </c>
      <c r="Y78" s="8">
        <f>VLOOKUP(Y$2,'Materia prima'!$B:$J,2,0)*P78</f>
        <v>144</v>
      </c>
      <c r="Z78" s="8">
        <f>VLOOKUP(Z$2,'Materia prima'!$B:$J,2,0)*M78/60</f>
        <v>3500</v>
      </c>
      <c r="AA78" s="8">
        <f t="shared" si="24"/>
        <v>3525.3333333333335</v>
      </c>
      <c r="AB78" s="5">
        <f t="shared" si="25"/>
        <v>7025.3333333333339</v>
      </c>
      <c r="AC78" s="5">
        <f t="shared" si="21"/>
        <v>7600</v>
      </c>
      <c r="AD78" s="5">
        <f t="shared" si="18"/>
        <v>1.0817992028847978</v>
      </c>
      <c r="AF78" s="19">
        <f t="shared" si="26"/>
        <v>0.49819700132852529</v>
      </c>
      <c r="AG78" s="19">
        <f t="shared" si="27"/>
        <v>1.9103630862329801</v>
      </c>
      <c r="AH78" s="19">
        <f t="shared" si="28"/>
        <v>0.46042892389447698</v>
      </c>
      <c r="AI78" s="8">
        <f t="shared" si="29"/>
        <v>6734.6666666666661</v>
      </c>
      <c r="AJ78" s="19">
        <f t="shared" si="30"/>
        <v>0.65640025990903172</v>
      </c>
    </row>
    <row r="79" spans="1:36" x14ac:dyDescent="0.3">
      <c r="A79" s="6" t="s">
        <v>172</v>
      </c>
      <c r="B79" s="2" t="s">
        <v>185</v>
      </c>
      <c r="C79" s="8">
        <v>1250</v>
      </c>
      <c r="D79" s="2" t="s">
        <v>229</v>
      </c>
      <c r="E79" s="8">
        <f t="shared" si="22"/>
        <v>7200</v>
      </c>
      <c r="F79" s="13">
        <f>+E79*(1+'Materia prima'!$B$1)</f>
        <v>9720</v>
      </c>
      <c r="H79" s="1">
        <v>0</v>
      </c>
      <c r="I79" s="1">
        <v>80</v>
      </c>
      <c r="J79" s="1">
        <v>1.5</v>
      </c>
      <c r="K79" s="1">
        <v>1</v>
      </c>
      <c r="L79" s="1">
        <v>0</v>
      </c>
      <c r="M79" s="1">
        <v>30</v>
      </c>
      <c r="N79" s="16">
        <f t="shared" si="19"/>
        <v>5.6000000000000005</v>
      </c>
      <c r="O79" s="1">
        <f t="shared" si="17"/>
        <v>0.13333333333333333</v>
      </c>
      <c r="P79" s="1">
        <f t="shared" si="20"/>
        <v>1.6E-2</v>
      </c>
      <c r="R79" s="8">
        <f>VLOOKUP(R$2,'Materia prima'!$B:$J,2,0)*H79</f>
        <v>0</v>
      </c>
      <c r="S79" s="8">
        <f>VLOOKUP(S$2,'Materia prima'!$B:$J,2,0)*I79</f>
        <v>600</v>
      </c>
      <c r="T79" s="8">
        <f>VLOOKUP(T$2,'Materia prima'!$B:$J,2,0)*J79</f>
        <v>150</v>
      </c>
      <c r="U79" s="8">
        <f t="shared" si="23"/>
        <v>1250</v>
      </c>
      <c r="V79" s="8">
        <f>VLOOKUP(V$2,'Materia prima'!$B:$J,2,0)*L79/1000</f>
        <v>0</v>
      </c>
      <c r="W79" s="8">
        <f>VLOOKUP(W$2,'Materia prima'!$B:$J,2,0)*N79</f>
        <v>840.00000000000011</v>
      </c>
      <c r="X79" s="8">
        <f>VLOOKUP(X$2,'Materia prima'!$B:$J,2,0)*O79</f>
        <v>22.666666666666668</v>
      </c>
      <c r="Y79" s="8">
        <f>VLOOKUP(Y$2,'Materia prima'!$B:$J,2,0)*P79</f>
        <v>288</v>
      </c>
      <c r="Z79" s="8">
        <f>VLOOKUP(Z$2,'Materia prima'!$B:$J,2,0)*M79/60</f>
        <v>3500</v>
      </c>
      <c r="AA79" s="8">
        <f t="shared" si="24"/>
        <v>3150.6666666666665</v>
      </c>
      <c r="AB79" s="5">
        <f t="shared" si="25"/>
        <v>6650.6666666666661</v>
      </c>
      <c r="AC79" s="5">
        <f t="shared" si="21"/>
        <v>7200</v>
      </c>
      <c r="AD79" s="5">
        <f t="shared" si="18"/>
        <v>1.0825982357658381</v>
      </c>
      <c r="AF79" s="19">
        <f t="shared" si="26"/>
        <v>0.52626303127506024</v>
      </c>
      <c r="AG79" s="19">
        <f t="shared" si="27"/>
        <v>2.0850613626745664</v>
      </c>
      <c r="AH79" s="19">
        <f t="shared" si="28"/>
        <v>0.46150761828388154</v>
      </c>
      <c r="AI79" s="8">
        <f t="shared" si="29"/>
        <v>6569.3333333333339</v>
      </c>
      <c r="AJ79" s="19">
        <f t="shared" si="30"/>
        <v>0.67585733882030186</v>
      </c>
    </row>
    <row r="80" spans="1:36" x14ac:dyDescent="0.3">
      <c r="A80" s="6" t="s">
        <v>173</v>
      </c>
      <c r="B80" s="2" t="s">
        <v>191</v>
      </c>
      <c r="C80" s="8">
        <f>C79</f>
        <v>1250</v>
      </c>
      <c r="D80" s="2" t="s">
        <v>229</v>
      </c>
      <c r="E80" s="8">
        <f t="shared" si="22"/>
        <v>7600</v>
      </c>
      <c r="F80" s="13">
        <f>+E80*(1+'Materia prima'!$B$1)</f>
        <v>10260</v>
      </c>
      <c r="H80" s="1">
        <v>0</v>
      </c>
      <c r="I80" s="1">
        <v>100</v>
      </c>
      <c r="J80" s="1">
        <v>1.5</v>
      </c>
      <c r="K80" s="1">
        <v>1</v>
      </c>
      <c r="L80" s="1">
        <v>0</v>
      </c>
      <c r="M80" s="1">
        <v>30</v>
      </c>
      <c r="N80" s="16">
        <f t="shared" si="19"/>
        <v>7.0000000000000009</v>
      </c>
      <c r="O80" s="1">
        <f t="shared" si="17"/>
        <v>0.16666666666666666</v>
      </c>
      <c r="P80" s="1">
        <f t="shared" si="20"/>
        <v>0.02</v>
      </c>
      <c r="R80" s="8">
        <f>VLOOKUP(R$2,'Materia prima'!$B:$J,2,0)*H80</f>
        <v>0</v>
      </c>
      <c r="S80" s="8">
        <f>VLOOKUP(S$2,'Materia prima'!$B:$J,2,0)*I80</f>
        <v>750</v>
      </c>
      <c r="T80" s="8">
        <f>VLOOKUP(T$2,'Materia prima'!$B:$J,2,0)*J80</f>
        <v>150</v>
      </c>
      <c r="U80" s="8">
        <f t="shared" si="23"/>
        <v>1250</v>
      </c>
      <c r="V80" s="8">
        <f>VLOOKUP(V$2,'Materia prima'!$B:$J,2,0)*L80/1000</f>
        <v>0</v>
      </c>
      <c r="W80" s="8">
        <f>VLOOKUP(W$2,'Materia prima'!$B:$J,2,0)*N80</f>
        <v>1050.0000000000002</v>
      </c>
      <c r="X80" s="8">
        <f>VLOOKUP(X$2,'Materia prima'!$B:$J,2,0)*O80</f>
        <v>28.333333333333332</v>
      </c>
      <c r="Y80" s="8">
        <f>VLOOKUP(Y$2,'Materia prima'!$B:$J,2,0)*P80</f>
        <v>360</v>
      </c>
      <c r="Z80" s="8">
        <f>VLOOKUP(Z$2,'Materia prima'!$B:$J,2,0)*M80/60</f>
        <v>3500</v>
      </c>
      <c r="AA80" s="8">
        <f t="shared" si="24"/>
        <v>3588.3333333333335</v>
      </c>
      <c r="AB80" s="5">
        <f t="shared" si="25"/>
        <v>7088.3333333333339</v>
      </c>
      <c r="AC80" s="5">
        <f t="shared" si="21"/>
        <v>7600</v>
      </c>
      <c r="AD80" s="5">
        <f t="shared" si="18"/>
        <v>1.0721843404655536</v>
      </c>
      <c r="AF80" s="19">
        <f t="shared" si="26"/>
        <v>0.49376910416176811</v>
      </c>
      <c r="AG80" s="19">
        <f t="shared" si="27"/>
        <v>1.8592661402693915</v>
      </c>
      <c r="AH80" s="19">
        <f t="shared" si="28"/>
        <v>0.44744885962849734</v>
      </c>
      <c r="AI80" s="8">
        <f t="shared" si="29"/>
        <v>6671.6666666666661</v>
      </c>
      <c r="AJ80" s="19">
        <f t="shared" si="30"/>
        <v>0.65025990903183883</v>
      </c>
    </row>
    <row r="81" spans="1:36" x14ac:dyDescent="0.3">
      <c r="A81" s="6" t="s">
        <v>174</v>
      </c>
      <c r="B81" s="2" t="s">
        <v>205</v>
      </c>
      <c r="C81" s="8">
        <v>3000</v>
      </c>
      <c r="D81" s="2" t="s">
        <v>229</v>
      </c>
      <c r="E81" s="8">
        <f t="shared" si="22"/>
        <v>7900</v>
      </c>
      <c r="F81" s="13">
        <f>+E81*(1+'Materia prima'!$B$1)</f>
        <v>10665</v>
      </c>
      <c r="H81" s="1">
        <v>0</v>
      </c>
      <c r="I81" s="1">
        <v>35</v>
      </c>
      <c r="J81" s="1">
        <v>1</v>
      </c>
      <c r="K81" s="1">
        <v>1</v>
      </c>
      <c r="L81" s="1">
        <v>0</v>
      </c>
      <c r="M81" s="1">
        <v>30</v>
      </c>
      <c r="N81" s="16">
        <f t="shared" si="19"/>
        <v>2.4500000000000002</v>
      </c>
      <c r="O81" s="1">
        <f t="shared" si="17"/>
        <v>5.8333333333333327E-2</v>
      </c>
      <c r="P81" s="1">
        <f t="shared" si="20"/>
        <v>7.0000000000000001E-3</v>
      </c>
      <c r="R81" s="8">
        <f>VLOOKUP(R$2,'Materia prima'!$B:$J,2,0)*H81</f>
        <v>0</v>
      </c>
      <c r="S81" s="8">
        <f>VLOOKUP(S$2,'Materia prima'!$B:$J,2,0)*I81</f>
        <v>262.5</v>
      </c>
      <c r="T81" s="8">
        <f>VLOOKUP(T$2,'Materia prima'!$B:$J,2,0)*J81</f>
        <v>100</v>
      </c>
      <c r="U81" s="8">
        <f t="shared" si="23"/>
        <v>3000</v>
      </c>
      <c r="V81" s="8">
        <f>VLOOKUP(V$2,'Materia prima'!$B:$J,2,0)*L81/1000</f>
        <v>0</v>
      </c>
      <c r="W81" s="8">
        <f>VLOOKUP(W$2,'Materia prima'!$B:$J,2,0)*N81</f>
        <v>367.5</v>
      </c>
      <c r="X81" s="8">
        <f>VLOOKUP(X$2,'Materia prima'!$B:$J,2,0)*O81</f>
        <v>9.9166666666666661</v>
      </c>
      <c r="Y81" s="8">
        <f>VLOOKUP(Y$2,'Materia prima'!$B:$J,2,0)*P81</f>
        <v>126</v>
      </c>
      <c r="Z81" s="8">
        <f>VLOOKUP(Z$2,'Materia prima'!$B:$J,2,0)*M81/60</f>
        <v>3500</v>
      </c>
      <c r="AA81" s="8">
        <f t="shared" si="24"/>
        <v>3865.9166666666665</v>
      </c>
      <c r="AB81" s="5">
        <f t="shared" si="25"/>
        <v>7365.9166666666661</v>
      </c>
      <c r="AC81" s="5">
        <f t="shared" si="21"/>
        <v>7900</v>
      </c>
      <c r="AD81" s="5">
        <f t="shared" si="18"/>
        <v>1.072507381973278</v>
      </c>
      <c r="AF81" s="19">
        <f t="shared" si="26"/>
        <v>0.47516149834259147</v>
      </c>
      <c r="AG81" s="19">
        <f t="shared" si="27"/>
        <v>1.7587247526459873</v>
      </c>
      <c r="AH81" s="19">
        <f t="shared" si="28"/>
        <v>0.44788496566392522</v>
      </c>
      <c r="AI81" s="8">
        <f t="shared" si="29"/>
        <v>6799.0833333333339</v>
      </c>
      <c r="AJ81" s="19">
        <f t="shared" si="30"/>
        <v>0.63751367401156434</v>
      </c>
    </row>
    <row r="82" spans="1:36" x14ac:dyDescent="0.3">
      <c r="A82" s="6" t="s">
        <v>175</v>
      </c>
      <c r="B82" s="2" t="s">
        <v>214</v>
      </c>
      <c r="C82" s="8">
        <f>C79</f>
        <v>1250</v>
      </c>
      <c r="D82" s="2" t="s">
        <v>229</v>
      </c>
      <c r="E82" s="8">
        <f t="shared" si="22"/>
        <v>9300</v>
      </c>
      <c r="F82" s="13">
        <f>+E82*(1+'Materia prima'!$B$1)</f>
        <v>12555</v>
      </c>
      <c r="H82" s="1">
        <v>0</v>
      </c>
      <c r="I82" s="1">
        <v>170</v>
      </c>
      <c r="J82" s="1">
        <v>2</v>
      </c>
      <c r="K82" s="1">
        <v>1</v>
      </c>
      <c r="L82" s="1">
        <v>0</v>
      </c>
      <c r="M82" s="1">
        <v>30</v>
      </c>
      <c r="N82" s="16">
        <f t="shared" si="19"/>
        <v>11.9</v>
      </c>
      <c r="O82" s="1">
        <f t="shared" si="17"/>
        <v>0.28333333333333333</v>
      </c>
      <c r="P82" s="1">
        <f t="shared" si="20"/>
        <v>3.4000000000000002E-2</v>
      </c>
      <c r="R82" s="8">
        <f>VLOOKUP(R$2,'Materia prima'!$B:$J,2,0)*H82</f>
        <v>0</v>
      </c>
      <c r="S82" s="8">
        <f>VLOOKUP(S$2,'Materia prima'!$B:$J,2,0)*I82</f>
        <v>1275</v>
      </c>
      <c r="T82" s="8">
        <f>VLOOKUP(T$2,'Materia prima'!$B:$J,2,0)*J82</f>
        <v>200</v>
      </c>
      <c r="U82" s="8">
        <f t="shared" si="23"/>
        <v>1250</v>
      </c>
      <c r="V82" s="8">
        <f>VLOOKUP(V$2,'Materia prima'!$B:$J,2,0)*L82/1000</f>
        <v>0</v>
      </c>
      <c r="W82" s="8">
        <f>VLOOKUP(W$2,'Materia prima'!$B:$J,2,0)*N82</f>
        <v>1785</v>
      </c>
      <c r="X82" s="8">
        <f>VLOOKUP(X$2,'Materia prima'!$B:$J,2,0)*O82</f>
        <v>48.166666666666664</v>
      </c>
      <c r="Y82" s="8">
        <f>VLOOKUP(Y$2,'Materia prima'!$B:$J,2,0)*P82</f>
        <v>612</v>
      </c>
      <c r="Z82" s="8">
        <f>VLOOKUP(Z$2,'Materia prima'!$B:$J,2,0)*M82/60</f>
        <v>3500</v>
      </c>
      <c r="AA82" s="8">
        <f t="shared" si="24"/>
        <v>5170.166666666667</v>
      </c>
      <c r="AB82" s="5">
        <f t="shared" si="25"/>
        <v>8670.1666666666679</v>
      </c>
      <c r="AC82" s="5">
        <f t="shared" si="21"/>
        <v>9300</v>
      </c>
      <c r="AD82" s="5">
        <f t="shared" si="18"/>
        <v>1.0726437400280655</v>
      </c>
      <c r="AF82" s="19">
        <f t="shared" si="26"/>
        <v>0.40368312796755151</v>
      </c>
      <c r="AG82" s="19">
        <f t="shared" si="27"/>
        <v>1.4283549853325166</v>
      </c>
      <c r="AH82" s="19">
        <f t="shared" si="28"/>
        <v>0.44806904903788825</v>
      </c>
      <c r="AI82" s="8">
        <f t="shared" si="29"/>
        <v>7384.833333333333</v>
      </c>
      <c r="AJ82" s="19">
        <f t="shared" si="30"/>
        <v>0.58819859285809106</v>
      </c>
    </row>
    <row r="83" spans="1:36" x14ac:dyDescent="0.3">
      <c r="A83" s="6" t="s">
        <v>176</v>
      </c>
      <c r="E83" s="8">
        <f t="shared" si="22"/>
        <v>0</v>
      </c>
      <c r="F83" s="13">
        <f>+E83*(1+'Materia prima'!$B$1)</f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6">
        <f t="shared" si="19"/>
        <v>0</v>
      </c>
      <c r="O83" s="1">
        <f t="shared" si="17"/>
        <v>0</v>
      </c>
      <c r="P83" s="1">
        <f t="shared" si="20"/>
        <v>0</v>
      </c>
      <c r="R83" s="8">
        <f>VLOOKUP(R$2,'Materia prima'!$B:$J,2,0)*H83</f>
        <v>0</v>
      </c>
      <c r="S83" s="8">
        <f>VLOOKUP(S$2,'Materia prima'!$B:$J,2,0)*I83</f>
        <v>0</v>
      </c>
      <c r="T83" s="8">
        <f>VLOOKUP(T$2,'Materia prima'!$B:$J,2,0)*J83</f>
        <v>0</v>
      </c>
      <c r="U83" s="8">
        <f t="shared" si="23"/>
        <v>0</v>
      </c>
      <c r="V83" s="8">
        <f>VLOOKUP(V$2,'Materia prima'!$B:$J,2,0)*L83/1000</f>
        <v>0</v>
      </c>
      <c r="W83" s="8">
        <f>VLOOKUP(W$2,'Materia prima'!$B:$J,2,0)*N83</f>
        <v>0</v>
      </c>
      <c r="X83" s="8">
        <f>VLOOKUP(X$2,'Materia prima'!$B:$J,2,0)*O83</f>
        <v>0</v>
      </c>
      <c r="Y83" s="8">
        <f>VLOOKUP(Y$2,'Materia prima'!$B:$J,2,0)*P83</f>
        <v>0</v>
      </c>
      <c r="Z83" s="8">
        <f>VLOOKUP(Z$2,'Materia prima'!$B:$J,2,0)*M83/60</f>
        <v>0</v>
      </c>
      <c r="AA83" s="8">
        <f t="shared" si="24"/>
        <v>0</v>
      </c>
      <c r="AB83" s="5">
        <f t="shared" si="25"/>
        <v>0</v>
      </c>
      <c r="AC83" s="5">
        <f t="shared" si="21"/>
        <v>0</v>
      </c>
      <c r="AD83" s="5" t="e">
        <f t="shared" si="18"/>
        <v>#DIV/0!</v>
      </c>
      <c r="AF83" s="19" t="e">
        <f t="shared" si="26"/>
        <v>#DIV/0!</v>
      </c>
      <c r="AG83" s="19" t="e">
        <f t="shared" si="27"/>
        <v>#DIV/0!</v>
      </c>
      <c r="AH83" s="19" t="e">
        <f t="shared" si="28"/>
        <v>#DIV/0!</v>
      </c>
      <c r="AI83" s="8">
        <f t="shared" si="29"/>
        <v>0</v>
      </c>
      <c r="AJ83" s="19" t="e">
        <f t="shared" si="30"/>
        <v>#DIV/0!</v>
      </c>
    </row>
    <row r="84" spans="1:36" x14ac:dyDescent="0.3">
      <c r="A84" s="6" t="s">
        <v>177</v>
      </c>
      <c r="E84" s="8">
        <f t="shared" si="22"/>
        <v>0</v>
      </c>
      <c r="F84" s="13">
        <f>+E84*(1+'Materia prima'!$B$1)</f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6">
        <f t="shared" si="19"/>
        <v>0</v>
      </c>
      <c r="O84" s="1">
        <f t="shared" si="17"/>
        <v>0</v>
      </c>
      <c r="P84" s="1">
        <f t="shared" si="20"/>
        <v>0</v>
      </c>
      <c r="R84" s="8">
        <f>VLOOKUP(R$2,'Materia prima'!$B:$J,2,0)*H84</f>
        <v>0</v>
      </c>
      <c r="S84" s="8">
        <f>VLOOKUP(S$2,'Materia prima'!$B:$J,2,0)*I84</f>
        <v>0</v>
      </c>
      <c r="T84" s="8">
        <f>VLOOKUP(T$2,'Materia prima'!$B:$J,2,0)*J84</f>
        <v>0</v>
      </c>
      <c r="U84" s="8">
        <f t="shared" si="23"/>
        <v>0</v>
      </c>
      <c r="V84" s="8">
        <f>VLOOKUP(V$2,'Materia prima'!$B:$J,2,0)*L84/1000</f>
        <v>0</v>
      </c>
      <c r="W84" s="8">
        <f>VLOOKUP(W$2,'Materia prima'!$B:$J,2,0)*N84</f>
        <v>0</v>
      </c>
      <c r="X84" s="8">
        <f>VLOOKUP(X$2,'Materia prima'!$B:$J,2,0)*O84</f>
        <v>0</v>
      </c>
      <c r="Y84" s="8">
        <f>VLOOKUP(Y$2,'Materia prima'!$B:$J,2,0)*P84</f>
        <v>0</v>
      </c>
      <c r="Z84" s="8">
        <f>VLOOKUP(Z$2,'Materia prima'!$B:$J,2,0)*M84/60</f>
        <v>0</v>
      </c>
      <c r="AA84" s="8">
        <f t="shared" si="24"/>
        <v>0</v>
      </c>
      <c r="AB84" s="5">
        <f t="shared" si="25"/>
        <v>0</v>
      </c>
      <c r="AC84" s="5">
        <f t="shared" si="21"/>
        <v>0</v>
      </c>
      <c r="AD84" s="5" t="e">
        <f t="shared" si="18"/>
        <v>#DIV/0!</v>
      </c>
      <c r="AF84" s="19" t="e">
        <f t="shared" si="26"/>
        <v>#DIV/0!</v>
      </c>
      <c r="AG84" s="19" t="e">
        <f t="shared" si="27"/>
        <v>#DIV/0!</v>
      </c>
      <c r="AH84" s="19" t="e">
        <f t="shared" si="28"/>
        <v>#DIV/0!</v>
      </c>
      <c r="AI84" s="8">
        <f t="shared" si="29"/>
        <v>0</v>
      </c>
      <c r="AJ84" s="19" t="e">
        <f t="shared" si="30"/>
        <v>#DIV/0!</v>
      </c>
    </row>
    <row r="85" spans="1:36" x14ac:dyDescent="0.3">
      <c r="A85" s="6"/>
      <c r="E85" s="8">
        <f t="shared" si="22"/>
        <v>0</v>
      </c>
      <c r="F85" s="13">
        <f>+E85*(1+'Materia prima'!$B$1)</f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6">
        <f t="shared" si="19"/>
        <v>0</v>
      </c>
      <c r="O85" s="1">
        <f t="shared" si="17"/>
        <v>0</v>
      </c>
      <c r="P85" s="1">
        <f t="shared" si="20"/>
        <v>0</v>
      </c>
      <c r="R85" s="8">
        <f>VLOOKUP(R$2,'Materia prima'!$B:$J,2,0)*H85</f>
        <v>0</v>
      </c>
      <c r="S85" s="8">
        <f>VLOOKUP(S$2,'Materia prima'!$B:$J,2,0)*I85</f>
        <v>0</v>
      </c>
      <c r="T85" s="8">
        <f>VLOOKUP(T$2,'Materia prima'!$B:$J,2,0)*J85</f>
        <v>0</v>
      </c>
      <c r="U85" s="8">
        <f t="shared" si="23"/>
        <v>0</v>
      </c>
      <c r="V85" s="8">
        <f>VLOOKUP(V$2,'Materia prima'!$B:$J,2,0)*L85/1000</f>
        <v>0</v>
      </c>
      <c r="W85" s="8">
        <f>VLOOKUP(W$2,'Materia prima'!$B:$J,2,0)*N85</f>
        <v>0</v>
      </c>
      <c r="X85" s="8">
        <f>VLOOKUP(X$2,'Materia prima'!$B:$J,2,0)*O85</f>
        <v>0</v>
      </c>
      <c r="Y85" s="8">
        <f>VLOOKUP(Y$2,'Materia prima'!$B:$J,2,0)*P85</f>
        <v>0</v>
      </c>
      <c r="Z85" s="8">
        <f>VLOOKUP(Z$2,'Materia prima'!$B:$J,2,0)*M85/60</f>
        <v>0</v>
      </c>
      <c r="AA85" s="8">
        <f t="shared" si="24"/>
        <v>0</v>
      </c>
      <c r="AB85" s="5">
        <f t="shared" si="25"/>
        <v>0</v>
      </c>
      <c r="AC85" s="5">
        <f t="shared" si="21"/>
        <v>0</v>
      </c>
      <c r="AD85" s="5" t="e">
        <f t="shared" si="18"/>
        <v>#DIV/0!</v>
      </c>
      <c r="AF85" s="19" t="e">
        <f t="shared" si="26"/>
        <v>#DIV/0!</v>
      </c>
      <c r="AG85" s="19" t="e">
        <f t="shared" si="27"/>
        <v>#DIV/0!</v>
      </c>
      <c r="AH85" s="19" t="e">
        <f t="shared" si="28"/>
        <v>#DIV/0!</v>
      </c>
      <c r="AI85" s="8">
        <f t="shared" si="29"/>
        <v>0</v>
      </c>
      <c r="AJ85" s="19" t="e">
        <f t="shared" si="30"/>
        <v>#DIV/0!</v>
      </c>
    </row>
    <row r="86" spans="1:36" x14ac:dyDescent="0.3">
      <c r="A86" s="6"/>
      <c r="E86" s="8">
        <f t="shared" si="22"/>
        <v>0</v>
      </c>
      <c r="F86" s="13">
        <f>+E86*(1+'Materia prima'!$B$1)</f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6">
        <f t="shared" si="19"/>
        <v>0</v>
      </c>
      <c r="O86" s="1">
        <f t="shared" si="17"/>
        <v>0</v>
      </c>
      <c r="P86" s="1">
        <f t="shared" si="20"/>
        <v>0</v>
      </c>
      <c r="R86" s="8">
        <f>VLOOKUP(R$2,'Materia prima'!$B:$J,2,0)*H86</f>
        <v>0</v>
      </c>
      <c r="S86" s="8">
        <f>VLOOKUP(S$2,'Materia prima'!$B:$J,2,0)*I86</f>
        <v>0</v>
      </c>
      <c r="T86" s="8">
        <f>VLOOKUP(T$2,'Materia prima'!$B:$J,2,0)*J86</f>
        <v>0</v>
      </c>
      <c r="U86" s="8">
        <f t="shared" si="23"/>
        <v>0</v>
      </c>
      <c r="V86" s="8">
        <f>VLOOKUP(V$2,'Materia prima'!$B:$J,2,0)*L86/1000</f>
        <v>0</v>
      </c>
      <c r="W86" s="8">
        <f>VLOOKUP(W$2,'Materia prima'!$B:$J,2,0)*N86</f>
        <v>0</v>
      </c>
      <c r="X86" s="8">
        <f>VLOOKUP(X$2,'Materia prima'!$B:$J,2,0)*O86</f>
        <v>0</v>
      </c>
      <c r="Y86" s="8">
        <f>VLOOKUP(Y$2,'Materia prima'!$B:$J,2,0)*P86</f>
        <v>0</v>
      </c>
      <c r="Z86" s="8">
        <f>VLOOKUP(Z$2,'Materia prima'!$B:$J,2,0)*M86/60</f>
        <v>0</v>
      </c>
      <c r="AA86" s="8">
        <f t="shared" si="24"/>
        <v>0</v>
      </c>
      <c r="AB86" s="5">
        <f t="shared" si="25"/>
        <v>0</v>
      </c>
      <c r="AC86" s="5">
        <f t="shared" si="21"/>
        <v>0</v>
      </c>
      <c r="AD86" s="5" t="e">
        <f t="shared" si="18"/>
        <v>#DIV/0!</v>
      </c>
      <c r="AF86" s="19" t="e">
        <f t="shared" si="26"/>
        <v>#DIV/0!</v>
      </c>
      <c r="AG86" s="19" t="e">
        <f t="shared" si="27"/>
        <v>#DIV/0!</v>
      </c>
      <c r="AH86" s="19" t="e">
        <f t="shared" si="28"/>
        <v>#DIV/0!</v>
      </c>
      <c r="AI86" s="8">
        <f t="shared" si="29"/>
        <v>0</v>
      </c>
      <c r="AJ86" s="19" t="e">
        <f t="shared" si="30"/>
        <v>#DIV/0!</v>
      </c>
    </row>
    <row r="87" spans="1:36" x14ac:dyDescent="0.3">
      <c r="A87" s="6"/>
      <c r="E87" s="8">
        <f t="shared" si="22"/>
        <v>0</v>
      </c>
      <c r="F87" s="13">
        <f>+E87*(1+'Materia prima'!$B$1)</f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6">
        <f t="shared" si="19"/>
        <v>0</v>
      </c>
      <c r="O87" s="1">
        <f t="shared" si="17"/>
        <v>0</v>
      </c>
      <c r="P87" s="1">
        <f t="shared" si="20"/>
        <v>0</v>
      </c>
      <c r="R87" s="8">
        <f>VLOOKUP(R$2,'Materia prima'!$B:$J,2,0)*H87</f>
        <v>0</v>
      </c>
      <c r="S87" s="8">
        <f>VLOOKUP(S$2,'Materia prima'!$B:$J,2,0)*I87</f>
        <v>0</v>
      </c>
      <c r="T87" s="8">
        <f>VLOOKUP(T$2,'Materia prima'!$B:$J,2,0)*J87</f>
        <v>0</v>
      </c>
      <c r="U87" s="8">
        <f t="shared" si="23"/>
        <v>0</v>
      </c>
      <c r="V87" s="8">
        <f>VLOOKUP(V$2,'Materia prima'!$B:$J,2,0)*L87/1000</f>
        <v>0</v>
      </c>
      <c r="W87" s="8">
        <f>VLOOKUP(W$2,'Materia prima'!$B:$J,2,0)*N87</f>
        <v>0</v>
      </c>
      <c r="X87" s="8">
        <f>VLOOKUP(X$2,'Materia prima'!$B:$J,2,0)*O87</f>
        <v>0</v>
      </c>
      <c r="Y87" s="8">
        <f>VLOOKUP(Y$2,'Materia prima'!$B:$J,2,0)*P87</f>
        <v>0</v>
      </c>
      <c r="Z87" s="8">
        <f>VLOOKUP(Z$2,'Materia prima'!$B:$J,2,0)*M87/60</f>
        <v>0</v>
      </c>
      <c r="AA87" s="8">
        <f t="shared" si="24"/>
        <v>0</v>
      </c>
      <c r="AB87" s="5">
        <f t="shared" si="25"/>
        <v>0</v>
      </c>
      <c r="AC87" s="5">
        <f t="shared" si="21"/>
        <v>0</v>
      </c>
      <c r="AD87" s="5" t="e">
        <f t="shared" si="18"/>
        <v>#DIV/0!</v>
      </c>
      <c r="AF87" s="19" t="e">
        <f t="shared" si="26"/>
        <v>#DIV/0!</v>
      </c>
      <c r="AG87" s="19" t="e">
        <f t="shared" si="27"/>
        <v>#DIV/0!</v>
      </c>
      <c r="AH87" s="19" t="e">
        <f t="shared" si="28"/>
        <v>#DIV/0!</v>
      </c>
      <c r="AI87" s="8">
        <f t="shared" si="29"/>
        <v>0</v>
      </c>
      <c r="AJ87" s="19" t="e">
        <f t="shared" si="30"/>
        <v>#DIV/0!</v>
      </c>
    </row>
    <row r="88" spans="1:36" x14ac:dyDescent="0.3">
      <c r="E88" s="8">
        <f t="shared" si="22"/>
        <v>0</v>
      </c>
      <c r="F88" s="13">
        <f>+E88*(1+'Materia prima'!$B$1)</f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6">
        <f t="shared" si="19"/>
        <v>0</v>
      </c>
      <c r="O88" s="1">
        <f t="shared" si="17"/>
        <v>0</v>
      </c>
      <c r="P88" s="1">
        <f t="shared" si="20"/>
        <v>0</v>
      </c>
      <c r="R88" s="8">
        <f>VLOOKUP(R$2,'Materia prima'!$B:$J,2,0)*H88</f>
        <v>0</v>
      </c>
      <c r="S88" s="8">
        <f>VLOOKUP(S$2,'Materia prima'!$B:$J,2,0)*I88</f>
        <v>0</v>
      </c>
      <c r="T88" s="8">
        <f>VLOOKUP(T$2,'Materia prima'!$B:$J,2,0)*J88</f>
        <v>0</v>
      </c>
      <c r="U88" s="8">
        <f t="shared" si="23"/>
        <v>0</v>
      </c>
      <c r="V88" s="8">
        <f>VLOOKUP(V$2,'Materia prima'!$B:$J,2,0)*L88/1000</f>
        <v>0</v>
      </c>
      <c r="W88" s="8">
        <f>VLOOKUP(W$2,'Materia prima'!$B:$J,2,0)*N88</f>
        <v>0</v>
      </c>
      <c r="X88" s="8">
        <f>VLOOKUP(X$2,'Materia prima'!$B:$J,2,0)*O88</f>
        <v>0</v>
      </c>
      <c r="Y88" s="8">
        <f>VLOOKUP(Y$2,'Materia prima'!$B:$J,2,0)*P88</f>
        <v>0</v>
      </c>
      <c r="Z88" s="8">
        <f>VLOOKUP(Z$2,'Materia prima'!$B:$J,2,0)*M88/60</f>
        <v>0</v>
      </c>
      <c r="AA88" s="8">
        <f t="shared" si="24"/>
        <v>0</v>
      </c>
      <c r="AB88" s="5">
        <f t="shared" si="25"/>
        <v>0</v>
      </c>
      <c r="AC88" s="5">
        <f t="shared" si="21"/>
        <v>0</v>
      </c>
      <c r="AD88" s="5" t="e">
        <f t="shared" si="18"/>
        <v>#DIV/0!</v>
      </c>
      <c r="AF88" s="19" t="e">
        <f t="shared" si="26"/>
        <v>#DIV/0!</v>
      </c>
      <c r="AG88" s="19" t="e">
        <f t="shared" si="27"/>
        <v>#DIV/0!</v>
      </c>
      <c r="AH88" s="19" t="e">
        <f t="shared" si="28"/>
        <v>#DIV/0!</v>
      </c>
      <c r="AI88" s="8">
        <f t="shared" si="29"/>
        <v>0</v>
      </c>
      <c r="AJ88" s="19" t="e">
        <f t="shared" si="30"/>
        <v>#DIV/0!</v>
      </c>
    </row>
    <row r="89" spans="1:36" x14ac:dyDescent="0.3">
      <c r="E89" s="8">
        <f t="shared" si="22"/>
        <v>0</v>
      </c>
      <c r="F89" s="13">
        <f>+E89*(1+'Materia prima'!$B$1)</f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6">
        <f t="shared" si="19"/>
        <v>0</v>
      </c>
      <c r="O89" s="1">
        <f t="shared" si="17"/>
        <v>0</v>
      </c>
      <c r="P89" s="1">
        <f t="shared" si="20"/>
        <v>0</v>
      </c>
      <c r="R89" s="8">
        <f>VLOOKUP(R$2,'Materia prima'!$B:$J,2,0)*H89</f>
        <v>0</v>
      </c>
      <c r="S89" s="8">
        <f>VLOOKUP(S$2,'Materia prima'!$B:$J,2,0)*I89</f>
        <v>0</v>
      </c>
      <c r="T89" s="8">
        <f>VLOOKUP(T$2,'Materia prima'!$B:$J,2,0)*J89</f>
        <v>0</v>
      </c>
      <c r="U89" s="8">
        <f t="shared" si="23"/>
        <v>0</v>
      </c>
      <c r="V89" s="8">
        <f>VLOOKUP(V$2,'Materia prima'!$B:$J,2,0)*L89/1000</f>
        <v>0</v>
      </c>
      <c r="W89" s="8">
        <f>VLOOKUP(W$2,'Materia prima'!$B:$J,2,0)*N89</f>
        <v>0</v>
      </c>
      <c r="X89" s="8">
        <f>VLOOKUP(X$2,'Materia prima'!$B:$J,2,0)*O89</f>
        <v>0</v>
      </c>
      <c r="Y89" s="8">
        <f>VLOOKUP(Y$2,'Materia prima'!$B:$J,2,0)*P89</f>
        <v>0</v>
      </c>
      <c r="Z89" s="8">
        <f>VLOOKUP(Z$2,'Materia prima'!$B:$J,2,0)*M89/60</f>
        <v>0</v>
      </c>
      <c r="AA89" s="8">
        <f t="shared" si="24"/>
        <v>0</v>
      </c>
      <c r="AB89" s="5">
        <f t="shared" si="25"/>
        <v>0</v>
      </c>
      <c r="AC89" s="5">
        <f t="shared" si="21"/>
        <v>0</v>
      </c>
      <c r="AD89" s="5" t="e">
        <f t="shared" si="18"/>
        <v>#DIV/0!</v>
      </c>
      <c r="AF89" s="19" t="e">
        <f t="shared" si="26"/>
        <v>#DIV/0!</v>
      </c>
      <c r="AG89" s="19" t="e">
        <f t="shared" si="27"/>
        <v>#DIV/0!</v>
      </c>
      <c r="AH89" s="19" t="e">
        <f t="shared" si="28"/>
        <v>#DIV/0!</v>
      </c>
      <c r="AI89" s="8">
        <f t="shared" si="29"/>
        <v>0</v>
      </c>
      <c r="AJ89" s="19" t="e">
        <f t="shared" si="30"/>
        <v>#DIV/0!</v>
      </c>
    </row>
    <row r="90" spans="1:36" x14ac:dyDescent="0.3">
      <c r="E90" s="8">
        <f t="shared" si="22"/>
        <v>0</v>
      </c>
      <c r="F90" s="13">
        <f>+E90*(1+'Materia prima'!$B$1)</f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6">
        <f t="shared" si="19"/>
        <v>0</v>
      </c>
      <c r="O90" s="1">
        <f t="shared" si="17"/>
        <v>0</v>
      </c>
      <c r="P90" s="1">
        <f t="shared" si="20"/>
        <v>0</v>
      </c>
      <c r="R90" s="8">
        <f>VLOOKUP(R$2,'Materia prima'!$B:$J,2,0)*H90</f>
        <v>0</v>
      </c>
      <c r="S90" s="8">
        <f>VLOOKUP(S$2,'Materia prima'!$B:$J,2,0)*I90</f>
        <v>0</v>
      </c>
      <c r="T90" s="8">
        <f>VLOOKUP(T$2,'Materia prima'!$B:$J,2,0)*J90</f>
        <v>0</v>
      </c>
      <c r="U90" s="8">
        <f t="shared" si="23"/>
        <v>0</v>
      </c>
      <c r="V90" s="8">
        <f>VLOOKUP(V$2,'Materia prima'!$B:$J,2,0)*L90/1000</f>
        <v>0</v>
      </c>
      <c r="W90" s="8">
        <f>VLOOKUP(W$2,'Materia prima'!$B:$J,2,0)*N90</f>
        <v>0</v>
      </c>
      <c r="X90" s="8">
        <f>VLOOKUP(X$2,'Materia prima'!$B:$J,2,0)*O90</f>
        <v>0</v>
      </c>
      <c r="Y90" s="8">
        <f>VLOOKUP(Y$2,'Materia prima'!$B:$J,2,0)*P90</f>
        <v>0</v>
      </c>
      <c r="Z90" s="8">
        <f>VLOOKUP(Z$2,'Materia prima'!$B:$J,2,0)*M90/60</f>
        <v>0</v>
      </c>
      <c r="AA90" s="8">
        <f t="shared" si="24"/>
        <v>0</v>
      </c>
      <c r="AB90" s="5">
        <f t="shared" si="25"/>
        <v>0</v>
      </c>
      <c r="AC90" s="5">
        <f t="shared" si="21"/>
        <v>0</v>
      </c>
      <c r="AD90" s="5" t="e">
        <f t="shared" si="18"/>
        <v>#DIV/0!</v>
      </c>
      <c r="AF90" s="19" t="e">
        <f t="shared" si="26"/>
        <v>#DIV/0!</v>
      </c>
      <c r="AG90" s="19" t="e">
        <f t="shared" si="27"/>
        <v>#DIV/0!</v>
      </c>
      <c r="AH90" s="19" t="e">
        <f t="shared" si="28"/>
        <v>#DIV/0!</v>
      </c>
      <c r="AI90" s="8">
        <f t="shared" si="29"/>
        <v>0</v>
      </c>
      <c r="AJ90" s="19" t="e">
        <f t="shared" si="30"/>
        <v>#DIV/0!</v>
      </c>
    </row>
    <row r="91" spans="1:36" x14ac:dyDescent="0.3">
      <c r="A91" s="2" t="s">
        <v>181</v>
      </c>
      <c r="E91" s="8">
        <f t="shared" si="22"/>
        <v>0</v>
      </c>
      <c r="F91" s="13">
        <f>+E91*(1+'Materia prima'!$B$1)</f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6">
        <f t="shared" si="19"/>
        <v>0</v>
      </c>
      <c r="O91" s="1">
        <f t="shared" si="17"/>
        <v>0</v>
      </c>
      <c r="P91" s="1">
        <f t="shared" si="20"/>
        <v>0</v>
      </c>
      <c r="R91" s="8">
        <f>VLOOKUP(R$2,'Materia prima'!$B:$J,2,0)*H91</f>
        <v>0</v>
      </c>
      <c r="S91" s="8">
        <f>VLOOKUP(S$2,'Materia prima'!$B:$J,2,0)*I91</f>
        <v>0</v>
      </c>
      <c r="T91" s="8">
        <f>VLOOKUP(T$2,'Materia prima'!$B:$J,2,0)*J91</f>
        <v>0</v>
      </c>
      <c r="U91" s="8">
        <f t="shared" si="23"/>
        <v>0</v>
      </c>
      <c r="V91" s="8">
        <f>VLOOKUP(V$2,'Materia prima'!$B:$J,2,0)*L91/1000</f>
        <v>0</v>
      </c>
      <c r="W91" s="8">
        <f>VLOOKUP(W$2,'Materia prima'!$B:$J,2,0)*N91</f>
        <v>0</v>
      </c>
      <c r="X91" s="8">
        <f>VLOOKUP(X$2,'Materia prima'!$B:$J,2,0)*O91</f>
        <v>0</v>
      </c>
      <c r="Y91" s="8">
        <f>VLOOKUP(Y$2,'Materia prima'!$B:$J,2,0)*P91</f>
        <v>0</v>
      </c>
      <c r="Z91" s="8">
        <f>VLOOKUP(Z$2,'Materia prima'!$B:$J,2,0)*M91/60</f>
        <v>0</v>
      </c>
      <c r="AA91" s="8">
        <f t="shared" si="24"/>
        <v>0</v>
      </c>
      <c r="AB91" s="5">
        <f t="shared" si="25"/>
        <v>0</v>
      </c>
      <c r="AC91" s="5">
        <f t="shared" si="21"/>
        <v>0</v>
      </c>
      <c r="AD91" s="5" t="e">
        <f t="shared" si="18"/>
        <v>#DIV/0!</v>
      </c>
      <c r="AF91" s="19" t="e">
        <f t="shared" si="26"/>
        <v>#DIV/0!</v>
      </c>
      <c r="AG91" s="19" t="e">
        <f t="shared" si="27"/>
        <v>#DIV/0!</v>
      </c>
      <c r="AH91" s="19" t="e">
        <f t="shared" si="28"/>
        <v>#DIV/0!</v>
      </c>
      <c r="AI91" s="8">
        <f t="shared" si="29"/>
        <v>0</v>
      </c>
      <c r="AJ91" s="19" t="e">
        <f t="shared" si="30"/>
        <v>#DIV/0!</v>
      </c>
    </row>
    <row r="92" spans="1:36" x14ac:dyDescent="0.3">
      <c r="A92" s="2" t="s">
        <v>182</v>
      </c>
      <c r="B92" s="2" t="s">
        <v>183</v>
      </c>
      <c r="E92" s="8">
        <f t="shared" si="22"/>
        <v>8800</v>
      </c>
      <c r="F92" s="13">
        <f>+E92*(1+'Materia prima'!$B$1)</f>
        <v>11880</v>
      </c>
      <c r="H92" s="1">
        <v>0</v>
      </c>
      <c r="I92" s="1">
        <v>155</v>
      </c>
      <c r="J92" s="1">
        <v>1.5</v>
      </c>
      <c r="K92" s="1">
        <v>0</v>
      </c>
      <c r="L92" s="1">
        <v>0</v>
      </c>
      <c r="M92" s="1">
        <v>40</v>
      </c>
      <c r="N92" s="16">
        <f t="shared" si="19"/>
        <v>10.850000000000001</v>
      </c>
      <c r="O92" s="1">
        <f t="shared" si="17"/>
        <v>0.2583333333333333</v>
      </c>
      <c r="P92" s="1">
        <f t="shared" si="20"/>
        <v>3.1E-2</v>
      </c>
      <c r="R92" s="8">
        <f>VLOOKUP(R$2,'Materia prima'!$B:$J,2,0)*H92</f>
        <v>0</v>
      </c>
      <c r="S92" s="8">
        <f>VLOOKUP(S$2,'Materia prima'!$B:$J,2,0)*I92</f>
        <v>1162.5</v>
      </c>
      <c r="T92" s="8">
        <f>VLOOKUP(T$2,'Materia prima'!$B:$J,2,0)*J92</f>
        <v>150</v>
      </c>
      <c r="U92" s="8">
        <f t="shared" si="23"/>
        <v>0</v>
      </c>
      <c r="V92" s="8">
        <f>VLOOKUP(V$2,'Materia prima'!$B:$J,2,0)*L92/1000</f>
        <v>0</v>
      </c>
      <c r="W92" s="8">
        <f>VLOOKUP(W$2,'Materia prima'!$B:$J,2,0)*N92</f>
        <v>1627.5000000000002</v>
      </c>
      <c r="X92" s="8">
        <f>VLOOKUP(X$2,'Materia prima'!$B:$J,2,0)*O92</f>
        <v>43.916666666666664</v>
      </c>
      <c r="Y92" s="8">
        <f>VLOOKUP(Y$2,'Materia prima'!$B:$J,2,0)*P92</f>
        <v>558</v>
      </c>
      <c r="Z92" s="8">
        <f>VLOOKUP(Z$2,'Materia prima'!$B:$J,2,0)*M92/60</f>
        <v>4666.666666666667</v>
      </c>
      <c r="AA92" s="8">
        <f t="shared" si="24"/>
        <v>3541.9166666666665</v>
      </c>
      <c r="AB92" s="5">
        <f t="shared" si="25"/>
        <v>8208.5833333333339</v>
      </c>
      <c r="AC92" s="5">
        <f t="shared" si="21"/>
        <v>8800</v>
      </c>
      <c r="AD92" s="5">
        <f t="shared" si="18"/>
        <v>1.0720485670487192</v>
      </c>
      <c r="AF92" s="19">
        <f t="shared" si="26"/>
        <v>0.56851060373795725</v>
      </c>
      <c r="AG92" s="19">
        <f t="shared" si="27"/>
        <v>2.3541161800343509</v>
      </c>
      <c r="AH92" s="19">
        <f t="shared" si="28"/>
        <v>0.4472655655157709</v>
      </c>
      <c r="AI92" s="8">
        <f t="shared" si="29"/>
        <v>8338.0833333333339</v>
      </c>
      <c r="AJ92" s="19">
        <f t="shared" si="30"/>
        <v>0.70185886644219986</v>
      </c>
    </row>
    <row r="93" spans="1:36" x14ac:dyDescent="0.3">
      <c r="A93" s="2" t="s">
        <v>203</v>
      </c>
      <c r="B93" s="2" t="s">
        <v>204</v>
      </c>
      <c r="E93" s="8">
        <f t="shared" si="22"/>
        <v>5400</v>
      </c>
      <c r="F93" s="13">
        <f>+E93*(1+'Materia prima'!$B$1)</f>
        <v>7290.0000000000009</v>
      </c>
      <c r="H93" s="1">
        <v>0</v>
      </c>
      <c r="I93" s="1">
        <v>65</v>
      </c>
      <c r="J93" s="1">
        <v>1</v>
      </c>
      <c r="K93" s="1">
        <v>0</v>
      </c>
      <c r="L93" s="1">
        <v>0</v>
      </c>
      <c r="M93" s="1">
        <v>30</v>
      </c>
      <c r="N93" s="16">
        <f t="shared" si="19"/>
        <v>4.5500000000000007</v>
      </c>
      <c r="O93" s="1">
        <f t="shared" si="17"/>
        <v>0.10833333333333332</v>
      </c>
      <c r="P93" s="1">
        <f t="shared" si="20"/>
        <v>1.3000000000000001E-2</v>
      </c>
      <c r="R93" s="8">
        <f>VLOOKUP(R$2,'Materia prima'!$B:$J,2,0)*H93</f>
        <v>0</v>
      </c>
      <c r="S93" s="8">
        <f>VLOOKUP(S$2,'Materia prima'!$B:$J,2,0)*I93</f>
        <v>487.5</v>
      </c>
      <c r="T93" s="8">
        <f>VLOOKUP(T$2,'Materia prima'!$B:$J,2,0)*J93</f>
        <v>100</v>
      </c>
      <c r="U93" s="8">
        <f t="shared" si="23"/>
        <v>0</v>
      </c>
      <c r="V93" s="8">
        <f>VLOOKUP(V$2,'Materia prima'!$B:$J,2,0)*L93/1000</f>
        <v>0</v>
      </c>
      <c r="W93" s="8">
        <f>VLOOKUP(W$2,'Materia prima'!$B:$J,2,0)*N93</f>
        <v>682.50000000000011</v>
      </c>
      <c r="X93" s="8">
        <f>VLOOKUP(X$2,'Materia prima'!$B:$J,2,0)*O93</f>
        <v>18.416666666666664</v>
      </c>
      <c r="Y93" s="8">
        <f>VLOOKUP(Y$2,'Materia prima'!$B:$J,2,0)*P93</f>
        <v>234.00000000000003</v>
      </c>
      <c r="Z93" s="8">
        <f>VLOOKUP(Z$2,'Materia prima'!$B:$J,2,0)*M93/60</f>
        <v>3500</v>
      </c>
      <c r="AA93" s="8">
        <f t="shared" si="24"/>
        <v>1522.4166666666667</v>
      </c>
      <c r="AB93" s="5">
        <f t="shared" si="25"/>
        <v>5022.416666666667</v>
      </c>
      <c r="AC93" s="5">
        <f t="shared" si="21"/>
        <v>5400</v>
      </c>
      <c r="AD93" s="5">
        <f t="shared" si="18"/>
        <v>1.0751796114088503</v>
      </c>
      <c r="AF93" s="19">
        <f t="shared" si="26"/>
        <v>0.69687567406129181</v>
      </c>
      <c r="AG93" s="19">
        <f t="shared" si="27"/>
        <v>3.7884394329191533</v>
      </c>
      <c r="AH93" s="19">
        <f t="shared" si="28"/>
        <v>0.45149247540194803</v>
      </c>
      <c r="AI93" s="8">
        <f t="shared" si="29"/>
        <v>5767.5833333333339</v>
      </c>
      <c r="AJ93" s="19">
        <f t="shared" si="30"/>
        <v>0.79116369455875624</v>
      </c>
    </row>
    <row r="94" spans="1:36" x14ac:dyDescent="0.3">
      <c r="A94" s="2" t="s">
        <v>213</v>
      </c>
      <c r="B94" s="2" t="s">
        <v>212</v>
      </c>
      <c r="E94" s="8">
        <f t="shared" si="22"/>
        <v>8000</v>
      </c>
      <c r="F94" s="13">
        <f>+E94*(1+'Materia prima'!$B$1)</f>
        <v>10800</v>
      </c>
      <c r="H94" s="1">
        <v>0</v>
      </c>
      <c r="I94" s="1">
        <v>170</v>
      </c>
      <c r="J94" s="1">
        <v>2</v>
      </c>
      <c r="K94" s="1">
        <v>0</v>
      </c>
      <c r="L94" s="1">
        <v>0</v>
      </c>
      <c r="M94" s="1">
        <v>30</v>
      </c>
      <c r="N94" s="16">
        <f t="shared" si="19"/>
        <v>11.9</v>
      </c>
      <c r="O94" s="1">
        <f t="shared" si="17"/>
        <v>0.28333333333333333</v>
      </c>
      <c r="P94" s="1">
        <f t="shared" si="20"/>
        <v>3.4000000000000002E-2</v>
      </c>
      <c r="R94" s="8">
        <f>VLOOKUP(R$2,'Materia prima'!$B:$J,2,0)*H94</f>
        <v>0</v>
      </c>
      <c r="S94" s="8">
        <f>VLOOKUP(S$2,'Materia prima'!$B:$J,2,0)*I94</f>
        <v>1275</v>
      </c>
      <c r="T94" s="8">
        <f>VLOOKUP(T$2,'Materia prima'!$B:$J,2,0)*J94</f>
        <v>200</v>
      </c>
      <c r="U94" s="8">
        <f t="shared" si="23"/>
        <v>0</v>
      </c>
      <c r="V94" s="8">
        <f>VLOOKUP(V$2,'Materia prima'!$B:$J,2,0)*L94/1000</f>
        <v>0</v>
      </c>
      <c r="W94" s="8">
        <f>VLOOKUP(W$2,'Materia prima'!$B:$J,2,0)*N94</f>
        <v>1785</v>
      </c>
      <c r="X94" s="8">
        <f>VLOOKUP(X$2,'Materia prima'!$B:$J,2,0)*O94</f>
        <v>48.166666666666664</v>
      </c>
      <c r="Y94" s="8">
        <f>VLOOKUP(Y$2,'Materia prima'!$B:$J,2,0)*P94</f>
        <v>612</v>
      </c>
      <c r="Z94" s="8">
        <f>VLOOKUP(Z$2,'Materia prima'!$B:$J,2,0)*M94/60</f>
        <v>3500</v>
      </c>
      <c r="AA94" s="8">
        <f t="shared" si="24"/>
        <v>3920.1666666666665</v>
      </c>
      <c r="AB94" s="5">
        <f t="shared" si="25"/>
        <v>7420.1666666666661</v>
      </c>
      <c r="AC94" s="5">
        <f t="shared" si="21"/>
        <v>8000</v>
      </c>
      <c r="AD94" s="5">
        <f t="shared" si="18"/>
        <v>1.0781428988567194</v>
      </c>
      <c r="AF94" s="19">
        <f t="shared" si="26"/>
        <v>0.47168751824981475</v>
      </c>
      <c r="AG94" s="19">
        <f t="shared" si="27"/>
        <v>1.7549849071042898</v>
      </c>
      <c r="AH94" s="19">
        <f t="shared" si="28"/>
        <v>0.45549291345657128</v>
      </c>
      <c r="AI94" s="8">
        <f t="shared" si="29"/>
        <v>6879.8333333333339</v>
      </c>
      <c r="AJ94" s="19">
        <f t="shared" si="30"/>
        <v>0.63702160493827165</v>
      </c>
    </row>
    <row r="95" spans="1:36" x14ac:dyDescent="0.3">
      <c r="H95" s="1"/>
      <c r="I95" s="1"/>
      <c r="J95" s="1"/>
      <c r="K95" s="1"/>
      <c r="L95" s="1"/>
      <c r="M95" s="1"/>
      <c r="N95" s="16"/>
      <c r="O95" s="1"/>
      <c r="P95" s="1"/>
      <c r="AF95" s="19"/>
    </row>
    <row r="96" spans="1:36" x14ac:dyDescent="0.3">
      <c r="H96" s="1"/>
      <c r="I96" s="1"/>
      <c r="J96" s="1"/>
      <c r="K96" s="1"/>
      <c r="L96" s="1"/>
      <c r="M96" s="1"/>
      <c r="N96" s="16"/>
      <c r="O96" s="1"/>
      <c r="P96" s="1"/>
      <c r="AF96" s="19"/>
    </row>
    <row r="97" spans="8:32" x14ac:dyDescent="0.3">
      <c r="H97" s="1"/>
      <c r="I97" s="1"/>
      <c r="J97" s="1"/>
      <c r="K97" s="1"/>
      <c r="L97" s="1"/>
      <c r="M97" s="1"/>
      <c r="N97" s="16"/>
      <c r="O97" s="1"/>
      <c r="P97" s="1"/>
      <c r="AF97" s="19"/>
    </row>
    <row r="98" spans="8:32" x14ac:dyDescent="0.3">
      <c r="H98" s="1"/>
      <c r="I98" s="1"/>
      <c r="J98" s="1"/>
      <c r="K98" s="1"/>
      <c r="L98" s="1"/>
      <c r="M98" s="1"/>
      <c r="N98" s="16"/>
      <c r="O98" s="1"/>
      <c r="P98" s="1"/>
      <c r="AF98" s="19"/>
    </row>
    <row r="99" spans="8:32" ht="20.399999999999999" customHeight="1" x14ac:dyDescent="0.3">
      <c r="H99" s="1"/>
      <c r="I99" s="1"/>
      <c r="J99" s="1"/>
      <c r="K99" s="1"/>
      <c r="L99" s="1"/>
      <c r="M99" s="1"/>
      <c r="N99" s="16"/>
      <c r="O99" s="1"/>
      <c r="P99" s="1"/>
      <c r="AF99" s="19"/>
    </row>
    <row r="100" spans="8:32" ht="20.399999999999999" customHeight="1" x14ac:dyDescent="0.3">
      <c r="H100" s="1"/>
      <c r="I100" s="1"/>
      <c r="J100" s="1"/>
      <c r="K100" s="1"/>
      <c r="L100" s="1"/>
      <c r="M100" s="1"/>
      <c r="N100" s="16"/>
      <c r="O100" s="1"/>
      <c r="P100" s="1"/>
      <c r="AF100" s="19"/>
    </row>
    <row r="101" spans="8:32" ht="20.399999999999999" customHeight="1" x14ac:dyDescent="0.3">
      <c r="H101" s="1"/>
      <c r="I101" s="1"/>
      <c r="J101" s="1"/>
      <c r="K101" s="1"/>
      <c r="L101" s="1"/>
      <c r="M101" s="1"/>
      <c r="N101" s="16"/>
      <c r="O101" s="1"/>
      <c r="P101" s="1"/>
      <c r="AF101" s="19"/>
    </row>
    <row r="102" spans="8:32" ht="20.399999999999999" customHeight="1" x14ac:dyDescent="0.3">
      <c r="H102" s="1"/>
      <c r="I102" s="1"/>
      <c r="J102" s="1"/>
      <c r="K102" s="1"/>
      <c r="L102" s="1"/>
      <c r="M102" s="1"/>
      <c r="N102" s="16"/>
      <c r="O102" s="1"/>
      <c r="P102" s="1"/>
      <c r="AF102" s="19"/>
    </row>
    <row r="103" spans="8:32" ht="20.399999999999999" customHeight="1" x14ac:dyDescent="0.3">
      <c r="H103" s="1"/>
      <c r="I103" s="1"/>
      <c r="J103" s="1"/>
      <c r="K103" s="1"/>
      <c r="L103" s="1"/>
      <c r="M103" s="1"/>
      <c r="N103" s="16"/>
      <c r="O103" s="1"/>
      <c r="P103" s="1"/>
      <c r="AF103" s="19"/>
    </row>
    <row r="104" spans="8:32" ht="20.399999999999999" customHeight="1" x14ac:dyDescent="0.3">
      <c r="H104" s="1"/>
      <c r="I104" s="1"/>
      <c r="J104" s="1"/>
      <c r="K104" s="1"/>
      <c r="L104" s="1"/>
      <c r="M104" s="1"/>
      <c r="N104" s="16"/>
      <c r="O104" s="1"/>
      <c r="P104" s="1"/>
      <c r="AF104" s="19"/>
    </row>
    <row r="105" spans="8:32" ht="20.399999999999999" customHeight="1" x14ac:dyDescent="0.3">
      <c r="H105" s="1"/>
      <c r="I105" s="1"/>
      <c r="J105" s="1"/>
      <c r="K105" s="1"/>
      <c r="L105" s="1"/>
      <c r="M105" s="1"/>
      <c r="N105" s="16"/>
      <c r="O105" s="1"/>
      <c r="P105" s="1"/>
      <c r="AF105" s="19"/>
    </row>
    <row r="106" spans="8:32" ht="20.399999999999999" customHeight="1" x14ac:dyDescent="0.3">
      <c r="H106" s="1"/>
      <c r="I106" s="1"/>
      <c r="J106" s="1"/>
      <c r="K106" s="1"/>
      <c r="L106" s="1"/>
      <c r="M106" s="1"/>
      <c r="N106" s="16"/>
      <c r="O106" s="1"/>
      <c r="P106" s="1"/>
      <c r="AF106" s="19"/>
    </row>
    <row r="107" spans="8:32" ht="20.399999999999999" customHeight="1" x14ac:dyDescent="0.3">
      <c r="AF107" s="19"/>
    </row>
    <row r="108" spans="8:32" ht="20.399999999999999" customHeight="1" x14ac:dyDescent="0.3">
      <c r="AF108" s="19"/>
    </row>
    <row r="109" spans="8:32" ht="20.399999999999999" customHeight="1" x14ac:dyDescent="0.3">
      <c r="AF109" s="19"/>
    </row>
    <row r="110" spans="8:32" ht="20.399999999999999" customHeight="1" x14ac:dyDescent="0.3">
      <c r="AF110" s="19"/>
    </row>
    <row r="111" spans="8:32" ht="18.600000000000001" customHeight="1" x14ac:dyDescent="0.3">
      <c r="AF111" s="19"/>
    </row>
    <row r="112" spans="8:32" ht="18.600000000000001" customHeight="1" x14ac:dyDescent="0.3">
      <c r="AF112" s="19"/>
    </row>
    <row r="113" spans="30:32" ht="18.600000000000001" customHeight="1" x14ac:dyDescent="0.3">
      <c r="AF113" s="19"/>
    </row>
    <row r="114" spans="30:32" ht="18.600000000000001" customHeight="1" x14ac:dyDescent="0.3">
      <c r="AF114" s="19"/>
    </row>
    <row r="115" spans="30:32" ht="18.600000000000001" customHeight="1" x14ac:dyDescent="0.3">
      <c r="AF115" s="19"/>
    </row>
    <row r="116" spans="30:32" ht="18.600000000000001" customHeight="1" x14ac:dyDescent="0.3">
      <c r="AF116" s="19"/>
    </row>
    <row r="117" spans="30:32" ht="18.600000000000001" customHeight="1" x14ac:dyDescent="0.3">
      <c r="AD117" s="10"/>
      <c r="AF117" s="19"/>
    </row>
    <row r="118" spans="30:32" ht="18.600000000000001" customHeight="1" x14ac:dyDescent="0.3">
      <c r="AD118" s="10"/>
      <c r="AF118" s="19"/>
    </row>
    <row r="119" spans="30:32" x14ac:dyDescent="0.3">
      <c r="AD119" s="10"/>
    </row>
    <row r="127" spans="30:32" x14ac:dyDescent="0.3">
      <c r="AD127" s="10"/>
    </row>
    <row r="128" spans="30:32" x14ac:dyDescent="0.3">
      <c r="AD128" s="10"/>
    </row>
    <row r="129" spans="29:30" x14ac:dyDescent="0.3">
      <c r="AD129" s="10"/>
    </row>
    <row r="130" spans="29:30" x14ac:dyDescent="0.3">
      <c r="AD130" s="10"/>
    </row>
    <row r="131" spans="29:30" x14ac:dyDescent="0.3">
      <c r="AD131" s="10"/>
    </row>
    <row r="132" spans="29:30" x14ac:dyDescent="0.3">
      <c r="AD132" s="10"/>
    </row>
    <row r="133" spans="29:30" x14ac:dyDescent="0.3">
      <c r="AD133" s="10"/>
    </row>
    <row r="134" spans="29:30" x14ac:dyDescent="0.3">
      <c r="AD134" s="10"/>
    </row>
    <row r="135" spans="29:30" x14ac:dyDescent="0.3">
      <c r="AD135" s="10"/>
    </row>
    <row r="136" spans="29:30" x14ac:dyDescent="0.3">
      <c r="AD136" s="10"/>
    </row>
    <row r="137" spans="29:30" x14ac:dyDescent="0.3">
      <c r="AD137" s="10"/>
    </row>
    <row r="138" spans="29:30" x14ac:dyDescent="0.3">
      <c r="AD138" s="10"/>
    </row>
    <row r="139" spans="29:30" x14ac:dyDescent="0.3">
      <c r="AD139" s="10"/>
    </row>
    <row r="140" spans="29:30" x14ac:dyDescent="0.3">
      <c r="AD140" s="10"/>
    </row>
    <row r="141" spans="29:30" x14ac:dyDescent="0.3">
      <c r="AD141" s="10"/>
    </row>
    <row r="142" spans="29:30" x14ac:dyDescent="0.3">
      <c r="AD142" s="10"/>
    </row>
    <row r="143" spans="29:30" x14ac:dyDescent="0.3">
      <c r="AD143" s="10"/>
    </row>
    <row r="144" spans="29:30" x14ac:dyDescent="0.3">
      <c r="AC144" s="2" t="s">
        <v>123</v>
      </c>
      <c r="AD144" s="10" t="e">
        <f>VLOOKUP($AC144,Combos!$B:$F,2,0)</f>
        <v>#N/A</v>
      </c>
    </row>
    <row r="145" spans="29:30" x14ac:dyDescent="0.3">
      <c r="AC145" s="2" t="s">
        <v>124</v>
      </c>
      <c r="AD145" s="10" t="e">
        <f>VLOOKUP($AC145,Combos!$B:$F,2,0)</f>
        <v>#N/A</v>
      </c>
    </row>
    <row r="146" spans="29:30" x14ac:dyDescent="0.3">
      <c r="AC146" s="2" t="s">
        <v>125</v>
      </c>
      <c r="AD146" s="10" t="e">
        <f>VLOOKUP($AC146,Combos!$B:$F,2,0)</f>
        <v>#N/A</v>
      </c>
    </row>
    <row r="459" spans="30:30" x14ac:dyDescent="0.3">
      <c r="AD459" s="2">
        <v>11300</v>
      </c>
    </row>
    <row r="460" spans="30:30" x14ac:dyDescent="0.3">
      <c r="AD460" s="2">
        <v>9700</v>
      </c>
    </row>
    <row r="461" spans="30:30" x14ac:dyDescent="0.3">
      <c r="AD461" s="2">
        <v>8500</v>
      </c>
    </row>
    <row r="462" spans="30:30" x14ac:dyDescent="0.3">
      <c r="AD462" s="2">
        <v>9500</v>
      </c>
    </row>
    <row r="463" spans="30:30" x14ac:dyDescent="0.3">
      <c r="AD463" s="2">
        <v>15800</v>
      </c>
    </row>
    <row r="464" spans="30:30" x14ac:dyDescent="0.3">
      <c r="AD464" s="2">
        <v>13800</v>
      </c>
    </row>
    <row r="465" spans="30:30" x14ac:dyDescent="0.3">
      <c r="AD465" s="2">
        <v>14900</v>
      </c>
    </row>
    <row r="466" spans="30:30" x14ac:dyDescent="0.3">
      <c r="AD466" s="2">
        <v>17600</v>
      </c>
    </row>
    <row r="467" spans="30:30" x14ac:dyDescent="0.3">
      <c r="AD467" s="2">
        <v>15300</v>
      </c>
    </row>
  </sheetData>
  <phoneticPr fontId="3" type="noConversion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M27"/>
  <sheetViews>
    <sheetView workbookViewId="0">
      <selection activeCell="G17" sqref="G17"/>
    </sheetView>
  </sheetViews>
  <sheetFormatPr baseColWidth="10" defaultRowHeight="14.4" x14ac:dyDescent="0.3"/>
  <cols>
    <col min="1" max="1" width="11.5546875" style="3"/>
    <col min="2" max="2" width="27.33203125" style="2" bestFit="1" customWidth="1"/>
    <col min="3" max="13" width="11.5546875" style="2"/>
  </cols>
  <sheetData>
    <row r="3" spans="1:5" x14ac:dyDescent="0.3">
      <c r="A3" s="3">
        <v>1</v>
      </c>
      <c r="B3" s="4" t="s">
        <v>164</v>
      </c>
      <c r="C3" s="2">
        <f>E14</f>
        <v>7400</v>
      </c>
      <c r="D3" s="2" t="str">
        <f>B4&amp;", "&amp;B5&amp;", "&amp;B6&amp;", "&amp;B7&amp;", "&amp;B8&amp;", "&amp;B9&amp;", "&amp;B10&amp;", "&amp;B11&amp;" y "&amp;B12</f>
        <v xml:space="preserve">Angel grande suvenir, Flores decoracion, Dije Cruz Dorada, Bolsa organza 9x12 comunion, , , ,  y </v>
      </c>
    </row>
    <row r="4" spans="1:5" x14ac:dyDescent="0.3">
      <c r="A4" s="6" t="s">
        <v>197</v>
      </c>
      <c r="B4" s="2" t="str">
        <f>IFERROR(VLOOKUP($A4,Costos!$A:$F,2,0),"")&amp;IFERROR(VLOOKUP($A4,'Materia prima'!$A:$F,2,0),"")</f>
        <v>Angel grande suvenir</v>
      </c>
      <c r="C4" s="5">
        <f>IFERROR(VLOOKUP($A4,Costos!$A:$F,5,0),0)+IFERROR(VLOOKUP($A4,'Materia prima'!$A:$F,5,0),0)</f>
        <v>4700</v>
      </c>
      <c r="D4" s="2">
        <v>1</v>
      </c>
      <c r="E4" s="2">
        <f t="shared" ref="E4:E12" si="0">IFERROR(C4*D4,0)</f>
        <v>4700</v>
      </c>
    </row>
    <row r="5" spans="1:5" x14ac:dyDescent="0.3">
      <c r="A5" s="3" t="s">
        <v>103</v>
      </c>
      <c r="B5" s="2" t="str">
        <f>IFERROR(VLOOKUP($A5,Costos!$A:$F,2,0),"")&amp;IFERROR(VLOOKUP($A5,'Materia prima'!$A:$F,2,0),"")</f>
        <v>Flores decoracion</v>
      </c>
      <c r="C5" s="5">
        <f>IFERROR(VLOOKUP($A5,Costos!$A:$F,5,0),0)+IFERROR(VLOOKUP($A5,'Materia prima'!$A:$F,5,0),0)</f>
        <v>200</v>
      </c>
      <c r="D5" s="2">
        <v>1</v>
      </c>
      <c r="E5" s="2">
        <f t="shared" si="0"/>
        <v>200</v>
      </c>
    </row>
    <row r="6" spans="1:5" x14ac:dyDescent="0.3">
      <c r="A6" s="3" t="s">
        <v>201</v>
      </c>
      <c r="B6" s="2" t="str">
        <f>IFERROR(VLOOKUP($A6,Costos!$A:$F,2,0),"")&amp;IFERROR(VLOOKUP($A6,'Materia prima'!$A:$F,2,0),"")</f>
        <v>Dije Cruz Dorada</v>
      </c>
      <c r="C6" s="5">
        <f>IFERROR(VLOOKUP($A6,Costos!$A:$F,5,0),0)+IFERROR(VLOOKUP($A6,'Materia prima'!$A:$F,5,0),0)</f>
        <v>95.588235294117652</v>
      </c>
      <c r="D6" s="2">
        <v>1</v>
      </c>
      <c r="E6" s="2">
        <f t="shared" si="0"/>
        <v>95.588235294117652</v>
      </c>
    </row>
    <row r="7" spans="1:5" x14ac:dyDescent="0.3">
      <c r="A7" s="3" t="s">
        <v>199</v>
      </c>
      <c r="B7" s="2" t="str">
        <f>IFERROR(VLOOKUP($A7,Costos!$A:$F,2,0),"")&amp;IFERROR(VLOOKUP($A7,'Materia prima'!$A:$F,2,0),"")</f>
        <v>Bolsa organza 9x12 comunion</v>
      </c>
      <c r="C7" s="5">
        <f>IFERROR(VLOOKUP($A7,Costos!$A:$F,5,0),0)+IFERROR(VLOOKUP($A7,'Materia prima'!$A:$F,5,0),0)</f>
        <v>450</v>
      </c>
      <c r="D7" s="2">
        <v>1</v>
      </c>
      <c r="E7" s="2">
        <f t="shared" si="0"/>
        <v>450</v>
      </c>
    </row>
    <row r="8" spans="1:5" x14ac:dyDescent="0.3">
      <c r="B8" s="2" t="str">
        <f>IFERROR(VLOOKUP($A8,Costos!$A:$F,2,0),"")&amp;IFERROR(VLOOKUP($A8,'Materia prima'!$A:$F,2,0),"")</f>
        <v/>
      </c>
      <c r="C8" s="5">
        <f>IFERROR(VLOOKUP($A8,Costos!$A:$F,5,0),0)+IFERROR(VLOOKUP($A8,'Materia prima'!$A:$F,5,0),0)</f>
        <v>0</v>
      </c>
      <c r="D8" s="2">
        <v>1</v>
      </c>
      <c r="E8" s="2">
        <f t="shared" si="0"/>
        <v>0</v>
      </c>
    </row>
    <row r="9" spans="1:5" x14ac:dyDescent="0.3">
      <c r="B9" s="2" t="str">
        <f>IFERROR(VLOOKUP($A9,Costos!$A:$F,2,0),"")&amp;IFERROR(VLOOKUP($A9,'Materia prima'!$A:$F,2,0),"")</f>
        <v/>
      </c>
      <c r="C9" s="5">
        <f>IFERROR(VLOOKUP($A9,Costos!$A:$F,5,0),0)+IFERROR(VLOOKUP($A9,'Materia prima'!$A:$F,5,0),0)</f>
        <v>0</v>
      </c>
      <c r="D9" s="2">
        <v>1</v>
      </c>
      <c r="E9" s="2">
        <f t="shared" si="0"/>
        <v>0</v>
      </c>
    </row>
    <row r="10" spans="1:5" x14ac:dyDescent="0.3">
      <c r="B10" s="2" t="str">
        <f>IFERROR(VLOOKUP($A10,Costos!$A:$F,2,0),"")&amp;IFERROR(VLOOKUP($A10,'Materia prima'!$A:$F,2,0),"")</f>
        <v/>
      </c>
      <c r="C10" s="5">
        <f>IFERROR(VLOOKUP($A10,Costos!$A:$F,5,0),0)+IFERROR(VLOOKUP($A10,'Materia prima'!$A:$F,5,0),0)</f>
        <v>0</v>
      </c>
      <c r="D10" s="2">
        <v>1</v>
      </c>
      <c r="E10" s="2">
        <f t="shared" si="0"/>
        <v>0</v>
      </c>
    </row>
    <row r="11" spans="1:5" x14ac:dyDescent="0.3">
      <c r="B11" s="2" t="str">
        <f>IFERROR(VLOOKUP($A11,Costos!$A:$F,2,0),"")&amp;IFERROR(VLOOKUP($A11,'Materia prima'!$A:$F,2,0),"")</f>
        <v/>
      </c>
      <c r="C11" s="5">
        <f>IFERROR(VLOOKUP($A11,Costos!$A:$F,5,0),0)+IFERROR(VLOOKUP($A11,'Materia prima'!$A:$F,5,0),0)</f>
        <v>0</v>
      </c>
      <c r="D11" s="2">
        <v>1</v>
      </c>
      <c r="E11" s="2">
        <f t="shared" si="0"/>
        <v>0</v>
      </c>
    </row>
    <row r="12" spans="1:5" x14ac:dyDescent="0.3">
      <c r="B12" s="2" t="str">
        <f>IFERROR(VLOOKUP($A12,Costos!$A:$F,2,0),"")&amp;IFERROR(VLOOKUP($A12,'Materia prima'!$A:$F,2,0),"")</f>
        <v/>
      </c>
      <c r="C12" s="5">
        <f>IFERROR(VLOOKUP($A12,Costos!$A:$F,5,0),0)+IFERROR(VLOOKUP($A12,'Materia prima'!$A:$F,5,0),0)</f>
        <v>0</v>
      </c>
      <c r="D12" s="2">
        <v>1</v>
      </c>
      <c r="E12" s="2">
        <f t="shared" si="0"/>
        <v>0</v>
      </c>
    </row>
    <row r="13" spans="1:5" x14ac:dyDescent="0.3">
      <c r="D13" s="2" t="s">
        <v>113</v>
      </c>
      <c r="E13" s="2">
        <f>SUM(E4:E12)</f>
        <v>5445.588235294118</v>
      </c>
    </row>
    <row r="14" spans="1:5" x14ac:dyDescent="0.3">
      <c r="D14" s="2" t="s">
        <v>114</v>
      </c>
      <c r="E14" s="7">
        <f>CEILING(E13*(1+'Materia prima'!$B$1),100)</f>
        <v>7400</v>
      </c>
    </row>
    <row r="16" spans="1:5" x14ac:dyDescent="0.3">
      <c r="A16" s="3">
        <f>MAX(A$2:A15)+1</f>
        <v>2</v>
      </c>
      <c r="B16" s="4" t="s">
        <v>164</v>
      </c>
      <c r="C16" s="2">
        <f>E27</f>
        <v>6600</v>
      </c>
      <c r="D16" s="2" t="str">
        <f>B17&amp;", "&amp;B18&amp;", "&amp;B19&amp;", "&amp;B20&amp;", "&amp;B21&amp;", "&amp;B22&amp;", "&amp;B23&amp;", "&amp;B24&amp;" y "&amp;B25</f>
        <v xml:space="preserve">Margaritas, Flores decoracion, Cinta, Tarjeta presentacion, Cono, Bolsa celofan 10x20, ,  y </v>
      </c>
    </row>
    <row r="17" spans="1:5" x14ac:dyDescent="0.3">
      <c r="A17" s="3" t="s">
        <v>54</v>
      </c>
      <c r="B17" s="2" t="str">
        <f>IFERROR(VLOOKUP($A17,Costos!$A:$F,2,0),"")&amp;IFERROR(VLOOKUP($A17,'Materia prima'!$A:$F,2,0),"")</f>
        <v>Margaritas</v>
      </c>
      <c r="C17" s="5">
        <f>IFERROR(VLOOKUP($A17,Costos!$A:$F,5,0),0)+IFERROR(VLOOKUP($A17,'Materia prima'!$A:$F,5,0),0)</f>
        <v>3000</v>
      </c>
      <c r="D17" s="2">
        <v>1.1000000000000001</v>
      </c>
      <c r="E17" s="2">
        <f t="shared" ref="E17:E25" si="1">IFERROR(C17*D17,0)</f>
        <v>3300.0000000000005</v>
      </c>
    </row>
    <row r="18" spans="1:5" x14ac:dyDescent="0.3">
      <c r="A18" s="3" t="s">
        <v>103</v>
      </c>
      <c r="B18" s="2" t="str">
        <f>IFERROR(VLOOKUP($A18,Costos!$A:$F,2,0),"")&amp;IFERROR(VLOOKUP($A18,'Materia prima'!$A:$F,2,0),"")</f>
        <v>Flores decoracion</v>
      </c>
      <c r="C18" s="5">
        <f>IFERROR(VLOOKUP($A18,Costos!$A:$F,5,0),0)+IFERROR(VLOOKUP($A18,'Materia prima'!$A:$F,5,0),0)</f>
        <v>200</v>
      </c>
      <c r="D18" s="2">
        <v>1</v>
      </c>
      <c r="E18" s="2">
        <f t="shared" si="1"/>
        <v>200</v>
      </c>
    </row>
    <row r="19" spans="1:5" x14ac:dyDescent="0.3">
      <c r="A19" s="3" t="s">
        <v>136</v>
      </c>
      <c r="B19" s="2" t="str">
        <f>IFERROR(VLOOKUP($A19,Costos!$A:$F,2,0),"")&amp;IFERROR(VLOOKUP($A19,'Materia prima'!$A:$F,2,0),"")</f>
        <v>Cinta</v>
      </c>
      <c r="C19" s="5">
        <f>IFERROR(VLOOKUP($A19,Costos!$A:$F,5,0),0)+IFERROR(VLOOKUP($A19,'Materia prima'!$A:$F,5,0),0)</f>
        <v>45.9</v>
      </c>
      <c r="D19" s="2">
        <v>1</v>
      </c>
      <c r="E19" s="2">
        <f t="shared" si="1"/>
        <v>45.9</v>
      </c>
    </row>
    <row r="20" spans="1:5" x14ac:dyDescent="0.3">
      <c r="A20" s="3" t="s">
        <v>138</v>
      </c>
      <c r="B20" s="2" t="str">
        <f>IFERROR(VLOOKUP($A20,Costos!$A:$F,2,0),"")&amp;IFERROR(VLOOKUP($A20,'Materia prima'!$A:$F,2,0),"")</f>
        <v>Tarjeta presentacion</v>
      </c>
      <c r="C20" s="5">
        <f>IFERROR(VLOOKUP($A20,Costos!$A:$F,5,0),0)+IFERROR(VLOOKUP($A20,'Materia prima'!$A:$F,5,0),0)</f>
        <v>150</v>
      </c>
      <c r="D20" s="2">
        <v>1.5</v>
      </c>
      <c r="E20" s="2">
        <f t="shared" si="1"/>
        <v>225</v>
      </c>
    </row>
    <row r="21" spans="1:5" x14ac:dyDescent="0.3">
      <c r="A21" s="3" t="s">
        <v>93</v>
      </c>
      <c r="B21" s="2" t="str">
        <f>IFERROR(VLOOKUP($A21,Costos!$A:$F,2,0),"")&amp;IFERROR(VLOOKUP($A21,'Materia prima'!$A:$F,2,0),"")</f>
        <v>Cono</v>
      </c>
      <c r="C21" s="5">
        <f>IFERROR(VLOOKUP($A21,Costos!$A:$F,5,0),0)+IFERROR(VLOOKUP($A21,'Materia prima'!$A:$F,5,0),0)</f>
        <v>900</v>
      </c>
      <c r="D21" s="2">
        <v>1</v>
      </c>
      <c r="E21" s="2">
        <f t="shared" si="1"/>
        <v>900</v>
      </c>
    </row>
    <row r="22" spans="1:5" x14ac:dyDescent="0.3">
      <c r="A22" s="3" t="s">
        <v>97</v>
      </c>
      <c r="B22" s="2" t="str">
        <f>IFERROR(VLOOKUP($A22,Costos!$A:$F,2,0),"")&amp;IFERROR(VLOOKUP($A22,'Materia prima'!$A:$F,2,0),"")</f>
        <v>Bolsa celofan 10x20</v>
      </c>
      <c r="C22" s="5">
        <f>IFERROR(VLOOKUP($A22,Costos!$A:$F,5,0),0)+IFERROR(VLOOKUP($A22,'Materia prima'!$A:$F,5,0),0)</f>
        <v>180</v>
      </c>
      <c r="D22" s="2">
        <v>1</v>
      </c>
      <c r="E22" s="2">
        <f t="shared" si="1"/>
        <v>180</v>
      </c>
    </row>
    <row r="23" spans="1:5" x14ac:dyDescent="0.3">
      <c r="B23" s="2" t="str">
        <f>IFERROR(VLOOKUP($A23,Costos!$A:$F,2,0),"")&amp;IFERROR(VLOOKUP($A23,'Materia prima'!$A:$F,2,0),"")</f>
        <v/>
      </c>
      <c r="C23" s="5">
        <f>IFERROR(VLOOKUP($A23,Costos!$A:$F,5,0),0)+IFERROR(VLOOKUP($A23,'Materia prima'!$A:$F,5,0),0)</f>
        <v>0</v>
      </c>
      <c r="D23" s="2">
        <v>1</v>
      </c>
      <c r="E23" s="2">
        <f t="shared" si="1"/>
        <v>0</v>
      </c>
    </row>
    <row r="24" spans="1:5" x14ac:dyDescent="0.3">
      <c r="B24" s="2" t="str">
        <f>IFERROR(VLOOKUP($A24,Costos!$A:$F,2,0),"")&amp;IFERROR(VLOOKUP($A24,'Materia prima'!$A:$F,2,0),"")</f>
        <v/>
      </c>
      <c r="C24" s="5">
        <f>IFERROR(VLOOKUP($A24,Costos!$A:$F,5,0),0)+IFERROR(VLOOKUP($A24,'Materia prima'!$A:$F,5,0),0)</f>
        <v>0</v>
      </c>
      <c r="D24" s="2">
        <v>1</v>
      </c>
      <c r="E24" s="2">
        <f t="shared" si="1"/>
        <v>0</v>
      </c>
    </row>
    <row r="25" spans="1:5" x14ac:dyDescent="0.3">
      <c r="B25" s="2" t="str">
        <f>IFERROR(VLOOKUP($A25,Costos!$A:$F,2,0),"")&amp;IFERROR(VLOOKUP($A25,'Materia prima'!$A:$F,2,0),"")</f>
        <v/>
      </c>
      <c r="C25" s="5">
        <f>IFERROR(VLOOKUP($A25,Costos!$A:$F,5,0),0)+IFERROR(VLOOKUP($A25,'Materia prima'!$A:$F,5,0),0)</f>
        <v>0</v>
      </c>
      <c r="D25" s="2">
        <v>1</v>
      </c>
      <c r="E25" s="2">
        <f t="shared" si="1"/>
        <v>0</v>
      </c>
    </row>
    <row r="26" spans="1:5" x14ac:dyDescent="0.3">
      <c r="D26" s="2" t="s">
        <v>113</v>
      </c>
      <c r="E26" s="2">
        <f>SUM(E17:E25)</f>
        <v>4850.9000000000005</v>
      </c>
    </row>
    <row r="27" spans="1:5" x14ac:dyDescent="0.3">
      <c r="D27" s="2" t="s">
        <v>114</v>
      </c>
      <c r="E27" s="7">
        <f>CEILING(E26*(1+'Materia prima'!$B$1),100)</f>
        <v>6600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Materia prima</vt:lpstr>
      <vt:lpstr>Costos</vt:lpstr>
      <vt:lpstr>Combos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Rodolfo B</dc:creator>
  <cp:lastModifiedBy>Rodolfo B</cp:lastModifiedBy>
  <dcterms:created xsi:type="dcterms:W3CDTF">2025-11-24T22:11:36Z</dcterms:created>
  <dcterms:modified xsi:type="dcterms:W3CDTF">2026-07-20T02:28:25Z</dcterms:modified>
</cp:coreProperties>
</file>